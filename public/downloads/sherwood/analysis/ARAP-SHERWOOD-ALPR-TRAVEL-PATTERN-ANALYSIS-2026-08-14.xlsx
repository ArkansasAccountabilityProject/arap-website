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8998f1759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01eab3b29640f4"/>
    <x:sheet xmlns:r="http://schemas.openxmlformats.org/officeDocument/2006/relationships" name="Daily Summary" sheetId="2" r:id="R772444226a674386"/>
    <x:sheet xmlns:r="http://schemas.openxmlformats.org/officeDocument/2006/relationships" name="Camera Summary" sheetId="3" r:id="R511bcdb9efa74db5"/>
    <x:sheet xmlns:r="http://schemas.openxmlformats.org/officeDocument/2006/relationships" name="Pattern Summary" sheetId="4" r:id="Rbd30919723ec4ea1"/>
    <x:sheet xmlns:r="http://schemas.openxmlformats.org/officeDocument/2006/relationships" name="Route Events" sheetId="5" r:id="R446b654cd39c4022"/>
    <x:sheet xmlns:r="http://schemas.openxmlformats.org/officeDocument/2006/relationships" name="Inferred Legs" sheetId="6" r:id="Ra4216723321644dc"/>
    <x:sheet xmlns:r="http://schemas.openxmlformats.org/officeDocument/2006/relationships" name="Raw Redacted" sheetId="7" r:id="R348ea807efad43dd"/>
    <x:sheet xmlns:r="http://schemas.openxmlformats.org/officeDocument/2006/relationships" name="Methodology" sheetId="8" r:id="R8f8f465ea6fc4e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yyyy-mm-dd"/>
    <x:numFmt numFmtId="202" formatCode="0.0"/>
    <x:numFmt numFmtId="203" formatCode="0.000000"/>
    <x:numFmt numFmtId="204" formatCode="0.0%"/>
    <x:numFmt numFmtId="205" formatCode="0.00"/>
    <x:numFmt numFmtId="206" formatCode="yyyy-mm-dd hh:mm:ss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E293B"/>
      <x:name val="Carlito"/>
    </x:font>
    <x:font>
      <x:b/>
      <x:sz val="11"/>
      <x:color rgb="FFFFFFFF"/>
      <x:name val="Carlito"/>
    </x:font>
    <x:font>
      <x:sz val="11"/>
      <x:color rgb="FF1E293B"/>
      <x:name val="Carlito"/>
    </x:font>
    <x:font>
      <x:b/>
      <x:sz val="11"/>
      <x:color rgb="FF17324D"/>
      <x:name val="Carlito"/>
    </x:font>
    <x:font>
      <x:b/>
      <x:sz val="14"/>
      <x:color rgb="FF17324D"/>
      <x:name val="Carlito"/>
    </x:font>
    <x:font>
      <x:sz val="11"/>
      <x:color rgb="FF596A7A"/>
      <x:name val="Carlito"/>
    </x:font>
    <x:font>
      <x:b/>
      <x:sz val="11"/>
      <x:color rgb="FF1E293B"/>
      <x:name val="Carlito"/>
    </x:font>
    <x:font>
      <x:i/>
      <x:sz val="11"/>
      <x:color rgb="FF596A7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FF2"/>
      </x:patternFill>
    </x:fill>
    <x:fill>
      <x:patternFill patternType="solid">
        <x:fgColor rgb="FF0F6574"/>
      </x:patternFill>
    </x:fill>
    <x:fill>
      <x:patternFill patternType="solid">
        <x:fgColor rgb="FFF4F7F9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rgb="FF0F6574"/>
      </x:left>
      <x:top style="thin">
        <x:color rgb="FF0F6574"/>
      </x:top>
      <x:bottom style="thin">
        <x:color rgb="FF0F6574"/>
      </x:bottom>
    </x:border>
    <x:border>
      <x:right style="thin">
        <x:color rgb="FF0F6574"/>
      </x:right>
      <x:top style="thin">
        <x:color rgb="FF0F6574"/>
      </x:top>
      <x:bottom style="thin">
        <x:color rgb="FF0F6574"/>
      </x:bottom>
    </x:border>
    <x:border>
      <x:top style="thin">
        <x:color rgb="FF0F6574"/>
      </x:top>
      <x:bottom style="thin">
        <x:color rgb="FF0F6574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0F6574"/>
      </x:font>
      <x:fill>
        <x:patternFill patternType="solid">
          <x:bgColor rgb="FFDDEFF2"/>
        </x:patternFill>
      </x:fill>
    </x:dxf>
    <x:dxf>
      <x:font>
        <x:b/>
        <x:color rgb="FF75520B"/>
      </x:font>
      <x:fill>
        <x:patternFill patternType="solid">
          <x:bgColor rgb="FFF8EBCF"/>
        </x:patternFill>
      </x:fill>
    </x:dxf>
    <x:dxf>
      <x:font>
        <x:color rgb="FF596A7A"/>
      </x:font>
      <x:fill>
        <x:patternFill patternType="solid">
          <x:bgColor rgb="FFEEF1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4a70ce684c4da8" /><Relationship Type="http://schemas.openxmlformats.org/officeDocument/2006/relationships/theme" Target="/xl/theme/theme1.xml" Id="Rcdabb0088c984cd4" /><Relationship Type="http://schemas.openxmlformats.org/officeDocument/2006/relationships/sharedStrings" Target="/xl/sharedStrings.xml" Id="R2a1f9a6de5a44e99" /><Relationship Type="http://schemas.openxmlformats.org/officeDocument/2006/relationships/worksheet" Target="/xl/worksheets/sheet1.xml" Id="Rf101eab3b29640f4" /><Relationship Type="http://schemas.openxmlformats.org/officeDocument/2006/relationships/worksheet" Target="/xl/worksheets/sheet2.xml" Id="R772444226a674386" /><Relationship Type="http://schemas.openxmlformats.org/officeDocument/2006/relationships/worksheet" Target="/xl/worksheets/sheet3.xml" Id="R511bcdb9efa74db5" /><Relationship Type="http://schemas.openxmlformats.org/officeDocument/2006/relationships/worksheet" Target="/xl/worksheets/sheet4.xml" Id="Rbd30919723ec4ea1" /><Relationship Type="http://schemas.openxmlformats.org/officeDocument/2006/relationships/worksheet" Target="/xl/worksheets/sheet5.xml" Id="R446b654cd39c4022" /><Relationship Type="http://schemas.openxmlformats.org/officeDocument/2006/relationships/worksheet" Target="/xl/worksheets/sheet6.xml" Id="Ra4216723321644dc" /><Relationship Type="http://schemas.openxmlformats.org/officeDocument/2006/relationships/worksheet" Target="/xl/worksheets/sheet7.xml" Id="R348ea807efad43dd" /><Relationship Type="http://schemas.openxmlformats.org/officeDocument/2006/relationships/worksheet" Target="/xl/worksheets/sheet8.xml" Id="R8f8f465ea6fc4ec3" /></Relationships>
</file>

<file path=xl/tables/table1.xml><?xml version="1.0" encoding="utf-8"?>
<x:table xmlns:x="http://schemas.openxmlformats.org/spreadsheetml/2006/main" id="1" name="DailySummaryTable" displayName="DailySummaryTable" ref="A1:G20" headerRowCount="1" totalsRowCount="0" totalsRowShown="0">
  <x:tableColumns count="7">
    <x:tableColumn id="1" name="Date"/>
    <x:tableColumn id="2" name="Raw captures"/>
    <x:tableColumn id="3" name="Deduplicated events"/>
    <x:tableColumn id="4" name="First detection"/>
    <x:tableColumn id="5" name="Last detection"/>
    <x:tableColumn id="6" name="Approx. span (hours)"/>
    <x:tableColumn id="7" name="Cameras observ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meraSummaryTable" displayName="CameraSummaryTable" ref="A1:H13" headerRowCount="1" totalsRowCount="0" totalsRowShown="0">
  <x:tableColumns count="8">
    <x:tableColumn id="1" name="Camera ID"/>
    <x:tableColumn id="2" name="Short label"/>
    <x:tableColumn id="3" name="Source camera label"/>
    <x:tableColumn id="4" name="Latitude"/>
    <x:tableColumn id="5" name="Longitude"/>
    <x:tableColumn id="6" name="Raw captures"/>
    <x:tableColumn id="7" name="Deduplicated events"/>
    <x:tableColumn id="8" name="Share of raw captur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tternSummaryTable" displayName="PatternSummaryTable" ref="A1:K6" headerRowCount="1" totalsRowCount="0" totalsRowShown="0">
  <x:tableColumns count="11">
    <x:tableColumn id="1" name="From ID"/>
    <x:tableColumn id="2" name="To ID"/>
    <x:tableColumn id="3" name="From camera"/>
    <x:tableColumn id="4" name="To camera"/>
    <x:tableColumn id="5" name="Occurrences"/>
    <x:tableColumn id="6" name="Minimum minutes"/>
    <x:tableColumn id="7" name="Median minutes"/>
    <x:tableColumn id="8" name="Maximum minutes"/>
    <x:tableColumn id="9" name="Dates represented"/>
    <x:tableColumn id="10" name="Dates"/>
    <x:tableColumn id="11" name="Straight-line mil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uteEventsTable" displayName="RouteEventsTable" ref="A1:O75" headerRowCount="1" totalsRowCount="0" totalsRowShown="0">
  <x:tableColumns count="15">
    <x:tableColumn id="1" name="Sequence"/>
    <x:tableColumn id="2" name="Vehicle"/>
    <x:tableColumn id="3" name="Date"/>
    <x:tableColumn id="4" name="Time (CDT)"/>
    <x:tableColumn id="5" name="Timestamp (CDT)"/>
    <x:tableColumn id="6" name="Camera ID"/>
    <x:tableColumn id="7" name="Camera"/>
    <x:tableColumn id="8" name="Source camera label"/>
    <x:tableColumn id="9" name="Latitude"/>
    <x:tableColumn id="10" name="Longitude"/>
    <x:tableColumn id="11" name="Raw captures in burst"/>
    <x:tableColumn id="12" name="Source make"/>
    <x:tableColumn id="13" name="Make variants in burst"/>
    <x:tableColumn id="14" name="Body"/>
    <x:tableColumn id="15" name="Colo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ferredLegsTable" displayName="InferredLegsTable" ref="A1:M56" headerRowCount="1" totalsRowCount="0" totalsRowShown="0">
  <x:tableColumns count="13">
    <x:tableColumn id="1" name="Date"/>
    <x:tableColumn id="2" name="Start timestamp (CDT)"/>
    <x:tableColumn id="3" name="End timestamp (CDT)"/>
    <x:tableColumn id="4" name="From ID"/>
    <x:tableColumn id="5" name="To ID"/>
    <x:tableColumn id="6" name="From latitude"/>
    <x:tableColumn id="7" name="From longitude"/>
    <x:tableColumn id="8" name="To latitude"/>
    <x:tableColumn id="9" name="To longitude"/>
    <x:tableColumn id="10" name="Gap minutes"/>
    <x:tableColumn id="11" name="Straight-line miles"/>
    <x:tableColumn id="12" name="Category"/>
    <x:tableColumn id="13" name="Interpret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awRedactedTable" displayName="RawRedactedTable" ref="A1:M81" headerRowCount="1" totalsRowCount="0" totalsRowShown="0">
  <x:tableColumns count="13">
    <x:tableColumn id="1" name="Plate"/>
    <x:tableColumn id="2" name="State"/>
    <x:tableColumn id="3" name="Capture Date"/>
    <x:tableColumn id="4" name="Capture Time"/>
    <x:tableColumn id="5" name="Make"/>
    <x:tableColumn id="6" name="Body"/>
    <x:tableColumn id="7" name="Color"/>
    <x:tableColumn id="8" name="Identifiers"/>
    <x:tableColumn id="9" name="Capture Network"/>
    <x:tableColumn id="10" name="Capture Camera"/>
    <x:tableColumn id="11" name="Capture Location Latitude"/>
    <x:tableColumn id="12" name="Capture Location Longitude"/>
    <x:tableColumn id="13" name="Image File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451ec046844c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f3a7daab2440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71d6a6d5c84b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72479b139b48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8d53ece94040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644fec3d6143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3" hidden="0" customWidth="1"/>
    <x:col min="4" max="4" width="22" hidden="0" customWidth="1"/>
    <x:col min="5" max="5" width="14" hidden="0" customWidth="1"/>
    <x:col min="6" max="6" width="27" hidden="0" customWidth="1"/>
  </x:cols>
  <x:sheetData>
    <x:row r="1" ht="34" customHeight="1">
      <x:c r="A1" s="3" t="str">
        <x:v>Possible Travel Sequence Analysis — Vehicle A</x:v>
      </x:c>
      <x:c r="B1" s="3" t="str">
        <x:v>Possible Travel Sequence Analysis — Vehicle A</x:v>
      </x:c>
      <x:c r="C1" s="3" t="str">
        <x:v>Possible Travel Sequence Analysis — Vehicle A</x:v>
      </x:c>
      <x:c r="D1" s="3" t="str">
        <x:v>Possible Travel Sequence Analysis — Vehicle A</x:v>
      </x:c>
      <x:c r="E1" s="3" t="str">
        <x:v>Possible Travel Sequence Analysis — Vehicle A</x:v>
      </x:c>
      <x:c r="F1" s="3" t="str">
        <x:v>Possible Travel Sequence Analysis — Vehicle A</x:v>
      </x:c>
    </x:row>
    <x:row r="2" ht="34" customHeight="1">
      <x:c r="A2" s="7" t="str">
        <x:v>Public-record analysis of June 2026 ALPR detections. Plate information is redacted. Connections are chronological inferences, not proof of an actual route.</x:v>
      </x:c>
      <x:c r="B2" s="7" t="str">
        <x:v>Public-record analysis of June 2026 ALPR detections. Plate information is redacted. Connections are chronological inferences, not proof of an actual route.</x:v>
      </x:c>
      <x:c r="C2" s="7" t="str">
        <x:v>Public-record analysis of June 2026 ALPR detections. Plate information is redacted. Connections are chronological inferences, not proof of an actual route.</x:v>
      </x:c>
      <x:c r="D2" s="7" t="str">
        <x:v>Public-record analysis of June 2026 ALPR detections. Plate information is redacted. Connections are chronological inferences, not proof of an actual route.</x:v>
      </x:c>
      <x:c r="E2" s="7" t="str">
        <x:v>Public-record analysis of June 2026 ALPR detections. Plate information is redacted. Connections are chronological inferences, not proof of an actual route.</x:v>
      </x:c>
      <x:c r="F2" s="7" t="str">
        <x:v>Public-record analysis of June 2026 ALPR detections. Plate information is redacted. Connections are chronological inferences, not proof of an actual route.</x:v>
      </x:c>
    </x:row>
    <x:row r="4" ht="30" customHeight="1">
      <x:c r="A4" s="14" t="str">
        <x:v>Measure</x:v>
      </x:c>
      <x:c r="B4" s="15" t="str">
        <x:v>Value</x:v>
      </x:c>
      <x:c r="D4" s="14" t="str">
        <x:v>Most repeated close sequence</x:v>
      </x:c>
      <x:c r="E4" s="21" t="str">
        <x:v>Most repeated close sequence</x:v>
      </x:c>
      <x:c r="F4" s="15" t="str">
        <x:v>Most repeated close sequence</x:v>
      </x:c>
    </x:row>
    <x:row r="5" ht="42" customHeight="1">
      <x:c r="A5" s="16" t="str">
        <x:v>Raw records</x:v>
      </x:c>
      <x:c r="B5" s="18" t="n">
        <x:f>COUNTA('Raw Redacted'!$A$2:$A$81)</x:f>
        <x:v>80</x:v>
      </x:c>
      <x:c r="D5" s="24" t="str">
        <x:f>'Pattern Summary'!C2&amp;" → "&amp;'Pattern Summary'!D2</x:f>
        <x:v>Hwy 107 northbound — North Hills → Kellogg Acres Rd northbound — city limits</x:v>
      </x:c>
      <x:c r="E5" s="24"/>
      <x:c r="F5" s="24"/>
    </x:row>
    <x:row r="6">
      <x:c r="A6" s="16" t="str">
        <x:v>Deduplicated events</x:v>
      </x:c>
      <x:c r="B6" s="18" t="n">
        <x:f>COUNTA('Route Events'!$A$2:$A$75)</x:f>
        <x:v>74</x:v>
      </x:c>
      <x:c r="D6" s="25" t="str">
        <x:v>Occurrences</x:v>
      </x:c>
      <x:c r="E6" s="25"/>
      <x:c r="F6" s="27" t="n">
        <x:f>'Pattern Summary'!E2</x:f>
        <x:v>20</x:v>
      </x:c>
    </x:row>
    <x:row r="7">
      <x:c r="A7" s="16" t="str">
        <x:v>Duplicate rows collapsed</x:v>
      </x:c>
      <x:c r="B7" s="18" t="n">
        <x:f>B5-B6</x:f>
        <x:v>6</x:v>
      </x:c>
      <x:c r="D7" s="25" t="str">
        <x:v>Observed range</x:v>
      </x:c>
      <x:c r="E7" s="25"/>
      <x:c r="F7" s="27" t="str">
        <x:f>TEXT('Pattern Summary'!F2,"0.0")&amp;"–"&amp;TEXT('Pattern Summary'!H2,"0.0")&amp;" minutes"</x:f>
        <x:v>5.8–19.4 minutes</x:v>
      </x:c>
    </x:row>
    <x:row r="8">
      <x:c r="A8" s="16" t="str">
        <x:v>Active dates</x:v>
      </x:c>
      <x:c r="B8" s="18" t="n">
        <x:f>COUNTA('Daily Summary'!$A$2:$A$20)</x:f>
        <x:v>19</x:v>
      </x:c>
      <x:c r="D8" s="25" t="str">
        <x:v>Median interval</x:v>
      </x:c>
      <x:c r="E8" s="25"/>
      <x:c r="F8" s="27" t="str">
        <x:f>'Pattern Summary'!G2&amp;" minutes"</x:f>
        <x:v>6.9 minutes</x:v>
      </x:c>
    </x:row>
    <x:row r="9">
      <x:c r="A9" s="16" t="str">
        <x:v>Camera locations</x:v>
      </x:c>
      <x:c r="B9" s="18" t="n">
        <x:f>COUNTA('Camera Summary'!$A$2:$A$13)</x:f>
        <x:v>12</x:v>
      </x:c>
      <x:c r="D9" s="25" t="str">
        <x:v>Dates represented</x:v>
      </x:c>
      <x:c r="E9" s="25"/>
      <x:c r="F9" s="27" t="n">
        <x:f>'Pattern Summary'!I2</x:f>
        <x:v>16</x:v>
      </x:c>
    </x:row>
    <x:row r="10">
      <x:c r="A10" s="16" t="str">
        <x:v>Close chronological legs (≤20 min)</x:v>
      </x:c>
      <x:c r="B10" s="18" t="n">
        <x:f>COUNTIF('Inferred Legs'!$L$2:$L$56,"Close")</x:f>
        <x:v>25</x:v>
      </x:c>
    </x:row>
    <x:row r="11">
      <x:c r="A11" s="16" t="str">
        <x:v>Possible same-outing legs (20–90 min)</x:v>
      </x:c>
      <x:c r="B11" s="18" t="n">
        <x:f>COUNTIF('Inferred Legs'!$L$2:$L$56,"Possible")</x:f>
        <x:v>10</x:v>
      </x:c>
    </x:row>
    <x:row r="13" ht="30" customHeight="1">
      <x:c r="A13" s="14" t="str">
        <x:v>Key findings and limits</x:v>
      </x:c>
      <x:c r="B13" s="21" t="str">
        <x:v>Key findings and limits</x:v>
      </x:c>
      <x:c r="C13" s="21" t="str">
        <x:v>Key findings and limits</x:v>
      </x:c>
      <x:c r="D13" s="21" t="str">
        <x:v>Key findings and limits</x:v>
      </x:c>
      <x:c r="E13" s="21" t="str">
        <x:v>Key findings and limits</x:v>
      </x:c>
      <x:c r="F13" s="15" t="str">
        <x:v>Key findings and limits</x:v>
      </x:c>
    </x:row>
    <x:row r="14" ht="46" customHeight="1">
      <x:c r="A14" s="30" t="str">
        <x:v>1. The strongest repeated sequence is C03 (Hwy 107 northbound at North Hills) followed by C04 (Kellogg Acres Road at the north city limits): 20 close sequences on 16 dates, with a median interval of 6.9 minutes.</x:v>
      </x:c>
      <x:c r="B14" s="30" t="str">
        <x:v>1. The strongest repeated sequence is C03 (Hwy 107 northbound at North Hills) followed by C04 (Kellogg Acres Road at the north city limits): 20 close sequences on 16 dates, with a median interval of 6.9 minutes.</x:v>
      </x:c>
      <x:c r="C14" s="30" t="str">
        <x:v>1. The strongest repeated sequence is C03 (Hwy 107 northbound at North Hills) followed by C04 (Kellogg Acres Road at the north city limits): 20 close sequences on 16 dates, with a median interval of 6.9 minutes.</x:v>
      </x:c>
      <x:c r="D14" s="30" t="str">
        <x:v>1. The strongest repeated sequence is C03 (Hwy 107 northbound at North Hills) followed by C04 (Kellogg Acres Road at the north city limits): 20 close sequences on 16 dates, with a median interval of 6.9 minutes.</x:v>
      </x:c>
      <x:c r="E14" s="30" t="str">
        <x:v>1. The strongest repeated sequence is C03 (Hwy 107 northbound at North Hills) followed by C04 (Kellogg Acres Road at the north city limits): 20 close sequences on 16 dates, with a median interval of 6.9 minutes.</x:v>
      </x:c>
      <x:c r="F14" s="30" t="str">
        <x:v>1. The strongest repeated sequence is C03 (Hwy 107 northbound at North Hills) followed by C04 (Kellogg Acres Road at the north city limits): 20 close sequences on 16 dates, with a median interval of 6.9 minutes.</x:v>
      </x:c>
    </x:row>
    <x:row r="15" ht="46" customHeight="1">
      <x:c r="A15" s="32" t="str">
        <x:v>2. The file contains 80 rows. Six rows were collapsed because they were repeat captures at the same camera within a one-minute burst, leaving 74 chronological events.</x:v>
      </x:c>
      <x:c r="B15" s="32" t="str">
        <x:v>2. The file contains 80 rows. Six rows were collapsed because they were repeat captures at the same camera within a one-minute burst, leaving 74 chronological events.</x:v>
      </x:c>
      <x:c r="C15" s="32" t="str">
        <x:v>2. The file contains 80 rows. Six rows were collapsed because they were repeat captures at the same camera within a one-minute burst, leaving 74 chronological events.</x:v>
      </x:c>
      <x:c r="D15" s="32" t="str">
        <x:v>2. The file contains 80 rows. Six rows were collapsed because they were repeat captures at the same camera within a one-minute burst, leaving 74 chronological events.</x:v>
      </x:c>
      <x:c r="E15" s="32" t="str">
        <x:v>2. The file contains 80 rows. Six rows were collapsed because they were repeat captures at the same camera within a one-minute burst, leaving 74 chronological events.</x:v>
      </x:c>
      <x:c r="F15" s="32" t="str">
        <x:v>2. The file contains 80 rows. Six rows were collapsed because they were repeat captures at the same camera within a one-minute burst, leaving 74 chronological events.</x:v>
      </x:c>
    </x:row>
    <x:row r="16" ht="46" customHeight="1">
      <x:c r="A16" s="30" t="str">
        <x:v>3. The source classified the same plate as Chevrolet 72 times, GMC 5 times, Ram 2 times, and Other once. Make classification should not be treated as independently reliable identification.</x:v>
      </x:c>
      <x:c r="B16" s="30" t="str">
        <x:v>3. The source classified the same plate as Chevrolet 72 times, GMC 5 times, Ram 2 times, and Other once. Make classification should not be treated as independently reliable identification.</x:v>
      </x:c>
      <x:c r="C16" s="30" t="str">
        <x:v>3. The source classified the same plate as Chevrolet 72 times, GMC 5 times, Ram 2 times, and Other once. Make classification should not be treated as independently reliable identification.</x:v>
      </x:c>
      <x:c r="D16" s="30" t="str">
        <x:v>3. The source classified the same plate as Chevrolet 72 times, GMC 5 times, Ram 2 times, and Other once. Make classification should not be treated as independently reliable identification.</x:v>
      </x:c>
      <x:c r="E16" s="30" t="str">
        <x:v>3. The source classified the same plate as Chevrolet 72 times, GMC 5 times, Ram 2 times, and Other once. Make classification should not be treated as independently reliable identification.</x:v>
      </x:c>
      <x:c r="F16" s="30" t="str">
        <x:v>3. The source classified the same plate as Chevrolet 72 times, GMC 5 times, Ram 2 times, and Other once. Make classification should not be treated as independently reliable identification.</x:v>
      </x:c>
    </x:row>
    <x:row r="17" ht="46" customHeight="1">
      <x:c r="A17" s="32" t="str">
        <x:v>4. A camera detection establishes only a plate observation at a stated location and time. It does not establish the driver, destination, stops, or exact road traveled between cameras.</x:v>
      </x:c>
      <x:c r="B17" s="32" t="str">
        <x:v>4. A camera detection establishes only a plate observation at a stated location and time. It does not establish the driver, destination, stops, or exact road traveled between cameras.</x:v>
      </x:c>
      <x:c r="C17" s="32" t="str">
        <x:v>4. A camera detection establishes only a plate observation at a stated location and time. It does not establish the driver, destination, stops, or exact road traveled between cameras.</x:v>
      </x:c>
      <x:c r="D17" s="32" t="str">
        <x:v>4. A camera detection establishes only a plate observation at a stated location and time. It does not establish the driver, destination, stops, or exact road traveled between cameras.</x:v>
      </x:c>
      <x:c r="E17" s="32" t="str">
        <x:v>4. A camera detection establishes only a plate observation at a stated location and time. It does not establish the driver, destination, stops, or exact road traveled between cameras.</x:v>
      </x:c>
      <x:c r="F17" s="32" t="str">
        <x:v>4. A camera detection establishes only a plate observation at a stated location and time. It does not establish the driver, destination, stops, or exact road traveled between cameras.</x:v>
      </x:c>
    </x:row>
    <x:row r="19">
      <x:c r="A19" s="34" t="str">
        <x:v>Source: Flock_Safety_Search_Results_7-1-2026_10-49-46AM(1).csv. Analysis prepared from the complete 80-row release.</x:v>
      </x:c>
      <x:c r="B19" s="34" t="str">
        <x:v>Source: Flock_Safety_Search_Results_7-1-2026_10-49-46AM(1).csv. Analysis prepared from the complete 80-row release.</x:v>
      </x:c>
      <x:c r="C19" s="34" t="str">
        <x:v>Source: Flock_Safety_Search_Results_7-1-2026_10-49-46AM(1).csv. Analysis prepared from the complete 80-row release.</x:v>
      </x:c>
      <x:c r="D19" s="34" t="str">
        <x:v>Source: Flock_Safety_Search_Results_7-1-2026_10-49-46AM(1).csv. Analysis prepared from the complete 80-row release.</x:v>
      </x:c>
      <x:c r="E19" s="34" t="str">
        <x:v>Source: Flock_Safety_Search_Results_7-1-2026_10-49-46AM(1).csv. Analysis prepared from the complete 80-row release.</x:v>
      </x:c>
      <x:c r="F19" s="34" t="str">
        <x:v>Source: Flock_Safety_Search_Results_7-1-2026_10-49-46AM(1).csv. Analysis prepared from the complete 80-row release.</x:v>
      </x:c>
    </x:row>
  </x:sheetData>
  <x:mergeCells>
    <x:mergeCell ref="A1:F1"/>
    <x:mergeCell ref="A2:F2"/>
    <x:mergeCell ref="D4:F4"/>
    <x:mergeCell ref="D5:F5"/>
    <x:mergeCell ref="D6:E6"/>
    <x:mergeCell ref="D7:E7"/>
    <x:mergeCell ref="D8:E8"/>
    <x:mergeCell ref="D9:E9"/>
    <x:mergeCell ref="A13:F13"/>
    <x:mergeCell ref="A14:F14"/>
    <x:mergeCell ref="A15:F15"/>
    <x:mergeCell ref="A16:F16"/>
    <x:mergeCell ref="A17:F17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5" hidden="0" customWidth="1"/>
    <x:col min="5" max="5" width="15" hidden="0" customWidth="1"/>
    <x:col min="6" max="6" width="19" hidden="0" customWidth="1"/>
    <x:col min="7" max="7" width="34" hidden="0" customWidth="1"/>
  </x:cols>
  <x:sheetData>
    <x:row r="1" ht="30" customHeight="1">
      <x:c r="A1" s="14" t="str">
        <x:v>Date</x:v>
      </x:c>
      <x:c r="B1" s="21" t="str">
        <x:v>Raw captures</x:v>
      </x:c>
      <x:c r="C1" s="21" t="str">
        <x:v>Deduplicated events</x:v>
      </x:c>
      <x:c r="D1" s="21" t="str">
        <x:v>First detection</x:v>
      </x:c>
      <x:c r="E1" s="21" t="str">
        <x:v>Last detection</x:v>
      </x:c>
      <x:c r="F1" s="21" t="str">
        <x:v>Approx. span (hours)</x:v>
      </x:c>
      <x:c r="G1" s="15" t="str">
        <x:v>Cameras observed</x:v>
      </x:c>
    </x:row>
    <x:row r="2">
      <x:c r="A2" s="35" t="n">
        <x:v>46174.5</x:v>
      </x:c>
      <x:c r="B2" s="36" t="n">
        <x:v>1</x:v>
      </x:c>
      <x:c r="C2" s="36" t="n">
        <x:v>1</x:v>
      </x:c>
      <x:c r="D2" t="str">
        <x:v>17:41:16</x:v>
      </x:c>
      <x:c r="E2" t="str">
        <x:v>17:41:16</x:v>
      </x:c>
      <x:c r="F2" s="37" t="n">
        <x:v>0</x:v>
      </x:c>
      <x:c r="G2" t="str">
        <x:v>C04</x:v>
      </x:c>
    </x:row>
    <x:row r="3">
      <x:c r="A3" s="35" t="n">
        <x:v>46177.5</x:v>
      </x:c>
      <x:c r="B3" s="36" t="n">
        <x:v>3</x:v>
      </x:c>
      <x:c r="C3" s="36" t="n">
        <x:v>3</x:v>
      </x:c>
      <x:c r="D3" t="str">
        <x:v>10:34:13</x:v>
      </x:c>
      <x:c r="E3" t="str">
        <x:v>15:13:01</x:v>
      </x:c>
      <x:c r="F3" s="37" t="n">
        <x:v>5</x:v>
      </x:c>
      <x:c r="G3" t="str">
        <x:v>C04, C01, C02</x:v>
      </x:c>
    </x:row>
    <x:row r="4">
      <x:c r="A4" s="35" t="n">
        <x:v>46178.5</x:v>
      </x:c>
      <x:c r="B4" s="36" t="n">
        <x:v>11</x:v>
      </x:c>
      <x:c r="C4" s="36" t="n">
        <x:v>8</x:v>
      </x:c>
      <x:c r="D4" t="str">
        <x:v>09:23:01</x:v>
      </x:c>
      <x:c r="E4" t="str">
        <x:v>16:18:13</x:v>
      </x:c>
      <x:c r="F4" s="37" t="n">
        <x:v>7</x:v>
      </x:c>
      <x:c r="G4" t="str">
        <x:v>C03, C04, C05</x:v>
      </x:c>
    </x:row>
    <x:row r="5">
      <x:c r="A5" s="35" t="n">
        <x:v>46179.5</x:v>
      </x:c>
      <x:c r="B5" s="36" t="n">
        <x:v>4</x:v>
      </x:c>
      <x:c r="C5" s="36" t="n">
        <x:v>4</x:v>
      </x:c>
      <x:c r="D5" t="str">
        <x:v>09:33:08</x:v>
      </x:c>
      <x:c r="E5" t="str">
        <x:v>16:15:02</x:v>
      </x:c>
      <x:c r="F5" s="37" t="n">
        <x:v>7</x:v>
      </x:c>
      <x:c r="G5" t="str">
        <x:v>C04, C05, C03</x:v>
      </x:c>
    </x:row>
    <x:row r="6">
      <x:c r="A6" s="35" t="n">
        <x:v>46180.5</x:v>
      </x:c>
      <x:c r="B6" s="36" t="n">
        <x:v>7</x:v>
      </x:c>
      <x:c r="C6" s="36" t="n">
        <x:v>7</x:v>
      </x:c>
      <x:c r="D6" t="str">
        <x:v>09:44:47</x:v>
      </x:c>
      <x:c r="E6" t="str">
        <x:v>14:04:38</x:v>
      </x:c>
      <x:c r="F6" s="37" t="n">
        <x:v>5</x:v>
      </x:c>
      <x:c r="G6" t="str">
        <x:v>C01, C02, C07, C06, C05, C03, C04</x:v>
      </x:c>
    </x:row>
    <x:row r="7">
      <x:c r="A7" s="35" t="n">
        <x:v>46181.5</x:v>
      </x:c>
      <x:c r="B7" s="36" t="n">
        <x:v>2</x:v>
      </x:c>
      <x:c r="C7" s="36" t="n">
        <x:v>2</x:v>
      </x:c>
      <x:c r="D7" t="str">
        <x:v>17:06:12</x:v>
      </x:c>
      <x:c r="E7" t="str">
        <x:v>17:14:16</x:v>
      </x:c>
      <x:c r="F7" s="37" t="n">
        <x:v>0</x:v>
      </x:c>
      <x:c r="G7" t="str">
        <x:v>C03, C04</x:v>
      </x:c>
    </x:row>
    <x:row r="8">
      <x:c r="A8" s="35" t="n">
        <x:v>46184.5</x:v>
      </x:c>
      <x:c r="B8" s="36" t="n">
        <x:v>1</x:v>
      </x:c>
      <x:c r="C8" s="36" t="n">
        <x:v>1</x:v>
      </x:c>
      <x:c r="D8" t="str">
        <x:v>18:22:59</x:v>
      </x:c>
      <x:c r="E8" t="str">
        <x:v>18:22:59</x:v>
      </x:c>
      <x:c r="F8" s="37" t="n">
        <x:v>0</x:v>
      </x:c>
      <x:c r="G8" t="str">
        <x:v>C08</x:v>
      </x:c>
    </x:row>
    <x:row r="9">
      <x:c r="A9" s="35" t="n">
        <x:v>46186.5</x:v>
      </x:c>
      <x:c r="B9" s="36" t="n">
        <x:v>5</x:v>
      </x:c>
      <x:c r="C9" s="36" t="n">
        <x:v>5</x:v>
      </x:c>
      <x:c r="D9" t="str">
        <x:v>09:04:57</x:v>
      </x:c>
      <x:c r="E9" t="str">
        <x:v>16:46:54</x:v>
      </x:c>
      <x:c r="F9" s="37" t="n">
        <x:v>7</x:v>
      </x:c>
      <x:c r="G9" t="str">
        <x:v>C03, C04, C08</x:v>
      </x:c>
    </x:row>
    <x:row r="10">
      <x:c r="A10" s="35" t="n">
        <x:v>46187.5</x:v>
      </x:c>
      <x:c r="B10" s="36" t="n">
        <x:v>6</x:v>
      </x:c>
      <x:c r="C10" s="36" t="n">
        <x:v>6</x:v>
      </x:c>
      <x:c r="D10" t="str">
        <x:v>10:40:43</x:v>
      </x:c>
      <x:c r="E10" t="str">
        <x:v>15:55:24</x:v>
      </x:c>
      <x:c r="F10" s="37" t="n">
        <x:v>5</x:v>
      </x:c>
      <x:c r="G10" t="str">
        <x:v>C01, C06, C04, C05, C03</x:v>
      </x:c>
    </x:row>
    <x:row r="11">
      <x:c r="A11" s="35" t="n">
        <x:v>46189.5</x:v>
      </x:c>
      <x:c r="B11" s="36" t="n">
        <x:v>2</x:v>
      </x:c>
      <x:c r="C11" s="36" t="n">
        <x:v>2</x:v>
      </x:c>
      <x:c r="D11" t="str">
        <x:v>15:28:47</x:v>
      </x:c>
      <x:c r="E11" t="str">
        <x:v>15:35:21</x:v>
      </x:c>
      <x:c r="F11" s="37" t="n">
        <x:v>0</x:v>
      </x:c>
      <x:c r="G11" t="str">
        <x:v>C03, C04</x:v>
      </x:c>
    </x:row>
    <x:row r="12">
      <x:c r="A12" s="35" t="n">
        <x:v>46191.5</x:v>
      </x:c>
      <x:c r="B12" s="36" t="n">
        <x:v>4</x:v>
      </x:c>
      <x:c r="C12" s="36" t="n">
        <x:v>4</x:v>
      </x:c>
      <x:c r="D12" t="str">
        <x:v>17:08:50</x:v>
      </x:c>
      <x:c r="E12" t="str">
        <x:v>19:03:00</x:v>
      </x:c>
      <x:c r="F12" s="37" t="n">
        <x:v>2</x:v>
      </x:c>
      <x:c r="G12" t="str">
        <x:v>C03, C04, C09, C08</x:v>
      </x:c>
    </x:row>
    <x:row r="13">
      <x:c r="A13" s="35" t="n">
        <x:v>46192.5</x:v>
      </x:c>
      <x:c r="B13" s="36" t="n">
        <x:v>7</x:v>
      </x:c>
      <x:c r="C13" s="36" t="n">
        <x:v>7</x:v>
      </x:c>
      <x:c r="D13" t="str">
        <x:v>10:40:04</x:v>
      </x:c>
      <x:c r="E13" t="str">
        <x:v>17:34:45</x:v>
      </x:c>
      <x:c r="F13" s="37" t="n">
        <x:v>7</x:v>
      </x:c>
      <x:c r="G13" t="str">
        <x:v>C07, C10, C02, C03, C04</x:v>
      </x:c>
    </x:row>
    <x:row r="14">
      <x:c r="A14" s="35" t="n">
        <x:v>46193.5</x:v>
      </x:c>
      <x:c r="B14" s="36" t="n">
        <x:v>3</x:v>
      </x:c>
      <x:c r="C14" s="36" t="n">
        <x:v>3</x:v>
      </x:c>
      <x:c r="D14" t="str">
        <x:v>08:55:10</x:v>
      </x:c>
      <x:c r="E14" t="str">
        <x:v>17:32:49</x:v>
      </x:c>
      <x:c r="F14" s="37" t="n">
        <x:v>9</x:v>
      </x:c>
      <x:c r="G14" t="str">
        <x:v>C11, C03, C04</x:v>
      </x:c>
    </x:row>
    <x:row r="15">
      <x:c r="A15" s="35" t="n">
        <x:v>46194.5</x:v>
      </x:c>
      <x:c r="B15" s="36" t="n">
        <x:v>4</x:v>
      </x:c>
      <x:c r="C15" s="36" t="n">
        <x:v>4</x:v>
      </x:c>
      <x:c r="D15" t="str">
        <x:v>11:55:00</x:v>
      </x:c>
      <x:c r="E15" t="str">
        <x:v>15:07:57</x:v>
      </x:c>
      <x:c r="F15" s="37" t="n">
        <x:v>4</x:v>
      </x:c>
      <x:c r="G15" t="str">
        <x:v>C12, C05, C03, C04</x:v>
      </x:c>
    </x:row>
    <x:row r="16">
      <x:c r="A16" s="35" t="n">
        <x:v>46196.5</x:v>
      </x:c>
      <x:c r="B16" s="36" t="n">
        <x:v>3</x:v>
      </x:c>
      <x:c r="C16" s="36" t="n">
        <x:v>3</x:v>
      </x:c>
      <x:c r="D16" t="str">
        <x:v>08:54:10</x:v>
      </x:c>
      <x:c r="E16" t="str">
        <x:v>16:43:48</x:v>
      </x:c>
      <x:c r="F16" s="37" t="n">
        <x:v>8</x:v>
      </x:c>
      <x:c r="G16" t="str">
        <x:v>C04, C03</x:v>
      </x:c>
    </x:row>
    <x:row r="17">
      <x:c r="A17" s="35" t="n">
        <x:v>46197.5</x:v>
      </x:c>
      <x:c r="B17" s="36" t="n">
        <x:v>2</x:v>
      </x:c>
      <x:c r="C17" s="36" t="n">
        <x:v>2</x:v>
      </x:c>
      <x:c r="D17" t="str">
        <x:v>14:53:47</x:v>
      </x:c>
      <x:c r="E17" t="str">
        <x:v>14:59:41</x:v>
      </x:c>
      <x:c r="F17" s="37" t="n">
        <x:v>0</x:v>
      </x:c>
      <x:c r="G17" t="str">
        <x:v>C03, C04</x:v>
      </x:c>
    </x:row>
    <x:row r="18">
      <x:c r="A18" s="35" t="n">
        <x:v>46199.5</x:v>
      </x:c>
      <x:c r="B18" s="36" t="n">
        <x:v>7</x:v>
      </x:c>
      <x:c r="C18" s="36" t="n">
        <x:v>4</x:v>
      </x:c>
      <x:c r="D18" t="str">
        <x:v>10:00:31</x:v>
      </x:c>
      <x:c r="E18" t="str">
        <x:v>16:54:53</x:v>
      </x:c>
      <x:c r="F18" s="37" t="n">
        <x:v>6</x:v>
      </x:c>
      <x:c r="G18" t="str">
        <x:v>C06, C05, C03, C04</x:v>
      </x:c>
    </x:row>
    <x:row r="19">
      <x:c r="A19" s="35" t="n">
        <x:v>46200.5</x:v>
      </x:c>
      <x:c r="B19" s="36" t="n">
        <x:v>4</x:v>
      </x:c>
      <x:c r="C19" s="36" t="n">
        <x:v>4</x:v>
      </x:c>
      <x:c r="D19" t="str">
        <x:v>12:00:35</x:v>
      </x:c>
      <x:c r="E19" t="str">
        <x:v>15:00:16</x:v>
      </x:c>
      <x:c r="F19" s="37" t="n">
        <x:v>3</x:v>
      </x:c>
      <x:c r="G19" t="str">
        <x:v>C12, C05, C03, C04</x:v>
      </x:c>
    </x:row>
    <x:row r="20">
      <x:c r="A20" s="35" t="n">
        <x:v>46201.5</x:v>
      </x:c>
      <x:c r="B20" s="36" t="n">
        <x:v>4</x:v>
      </x:c>
      <x:c r="C20" s="36" t="n">
        <x:v>4</x:v>
      </x:c>
      <x:c r="D20" t="str">
        <x:v>09:51:01</x:v>
      </x:c>
      <x:c r="E20" t="str">
        <x:v>15:39:40</x:v>
      </x:c>
      <x:c r="F20" s="37" t="n">
        <x:v>6</x:v>
      </x:c>
      <x:c r="G20" t="str">
        <x:v>C04, C05, C03</x:v>
      </x:c>
    </x:row>
  </x:sheetData>
  <x:pageMargins left="0.7" right="0.7" top="0.75" bottom="0.75" header="0.3" footer="0.3"/>
  <x:tableParts count="1">
    <x:tablePart xmlns:r="http://schemas.openxmlformats.org/officeDocument/2006/relationships" r:id="Rf2451ec046844c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5" hidden="0" customWidth="1"/>
    <x:col min="3" max="3" width="52" hidden="0" customWidth="1"/>
    <x:col min="4" max="4" width="15" hidden="0" customWidth="1"/>
    <x:col min="5" max="5" width="15" hidden="0" customWidth="1"/>
    <x:col min="6" max="6" width="14" hidden="0" customWidth="1"/>
    <x:col min="7" max="7" width="19" hidden="0" customWidth="1"/>
    <x:col min="8" max="8" width="20" hidden="0" customWidth="1"/>
  </x:cols>
  <x:sheetData>
    <x:row r="1" ht="30" customHeight="1">
      <x:c r="A1" s="14" t="str">
        <x:v>Camera ID</x:v>
      </x:c>
      <x:c r="B1" s="21" t="str">
        <x:v>Short label</x:v>
      </x:c>
      <x:c r="C1" s="21" t="str">
        <x:v>Source camera label</x:v>
      </x:c>
      <x:c r="D1" s="21" t="str">
        <x:v>Latitude</x:v>
      </x:c>
      <x:c r="E1" s="21" t="str">
        <x:v>Longitude</x:v>
      </x:c>
      <x:c r="F1" s="21" t="str">
        <x:v>Raw captures</x:v>
      </x:c>
      <x:c r="G1" s="21" t="str">
        <x:v>Deduplicated events</x:v>
      </x:c>
      <x:c r="H1" s="15" t="str">
        <x:v>Share of raw captures</x:v>
      </x:c>
    </x:row>
    <x:row r="2">
      <x:c r="A2" t="str">
        <x:v>C01</x:v>
      </x:c>
      <x:c r="B2" t="str">
        <x:v>Brockington Rd southbound</x:v>
      </x:c>
      <x:c r="C2" t="str">
        <x:v>#01 Brockington Rd (Southbound)</x:v>
      </x:c>
      <x:c r="D2" s="38" t="n">
        <x:v>34.82712949</x:v>
      </x:c>
      <x:c r="E2" s="38" t="n">
        <x:v>-92.19130226</x:v>
      </x:c>
      <x:c r="F2" s="36" t="n">
        <x:v>3</x:v>
      </x:c>
      <x:c r="G2" s="36" t="n">
        <x:v>3</x:v>
      </x:c>
      <x:c r="H2" s="39" t="n">
        <x:f>F2/SUM($F$2:$F$13)</x:f>
        <x:v>0.0375</x:v>
      </x:c>
    </x:row>
    <x:row r="3">
      <x:c r="A3" t="str">
        <x:v>C02</x:v>
      </x:c>
      <x:c r="B3" t="str">
        <x:v>Warden Rd southbound</x:v>
      </x:c>
      <x:c r="C3" t="str">
        <x:v>#02 Warden Rd @ Saltgrass Steakhouse SB</x:v>
      </x:c>
      <x:c r="D3" s="38" t="n">
        <x:v>34.81258891</x:v>
      </x:c>
      <x:c r="E3" s="38" t="n">
        <x:v>-92.20502351</x:v>
      </x:c>
      <x:c r="F3" s="36" t="n">
        <x:v>3</x:v>
      </x:c>
      <x:c r="G3" s="36" t="n">
        <x:v>3</x:v>
      </x:c>
      <x:c r="H3" s="39" t="n">
        <x:f>F3/SUM($F$2:$F$13)</x:f>
        <x:v>0.0375</x:v>
      </x:c>
    </x:row>
    <x:row r="4">
      <x:c r="A4" t="str">
        <x:v>C03</x:v>
      </x:c>
      <x:c r="B4" t="str">
        <x:v>Hwy 107 northbound — North Hills</x:v>
      </x:c>
      <x:c r="C4" t="str">
        <x:v>#05 Hwy 107 (Northbound) Greens at North Hills</x:v>
      </x:c>
      <x:c r="D4" s="38" t="n">
        <x:v>34.8217311</x:v>
      </x:c>
      <x:c r="E4" s="38" t="n">
        <x:v>-92.2313695</x:v>
      </x:c>
      <x:c r="F4" s="36" t="n">
        <x:v>20</x:v>
      </x:c>
      <x:c r="G4" s="36" t="n">
        <x:v>20</x:v>
      </x:c>
      <x:c r="H4" s="39" t="n">
        <x:f>F4/SUM($F$2:$F$13)</x:f>
        <x:v>0.25</x:v>
      </x:c>
    </x:row>
    <x:row r="5">
      <x:c r="A5" t="str">
        <x:v>C04</x:v>
      </x:c>
      <x:c r="B5" t="str">
        <x:v>Kellogg Acres Rd northbound — city limits</x:v>
      </x:c>
      <x:c r="C5" t="str">
        <x:v>#04 Kellogg Acres Rd @ North City Limits NB</x:v>
      </x:c>
      <x:c r="D5" s="38" t="n">
        <x:v>34.87271694</x:v>
      </x:c>
      <x:c r="E5" s="38" t="n">
        <x:v>-92.22918117</x:v>
      </x:c>
      <x:c r="F5" s="36" t="n">
        <x:v>26</x:v>
      </x:c>
      <x:c r="G5" s="36" t="n">
        <x:v>26</x:v>
      </x:c>
      <x:c r="H5" s="39" t="n">
        <x:f>F5/SUM($F$2:$F$13)</x:f>
        <x:v>0.325</x:v>
      </x:c>
    </x:row>
    <x:row r="6">
      <x:c r="A6" t="str">
        <x:v>C05</x:v>
      </x:c>
      <x:c r="B6" t="str">
        <x:v>Hwy 107 southbound — North Hills</x:v>
      </x:c>
      <x:c r="C6" t="str">
        <x:v>#06 Hwy 107 Southbound Near Taco Bell at North Hills Blvd.</x:v>
      </x:c>
      <x:c r="D6" s="38" t="n">
        <x:v>34.82041424</x:v>
      </x:c>
      <x:c r="E6" s="38" t="n">
        <x:v>-92.2329764</x:v>
      </x:c>
      <x:c r="F6" s="36" t="n">
        <x:v>15</x:v>
      </x:c>
      <x:c r="G6" s="36" t="n">
        <x:v>9</x:v>
      </x:c>
      <x:c r="H6" s="39" t="n">
        <x:f>F6/SUM($F$2:$F$13)</x:f>
        <x:v>0.1875</x:v>
      </x:c>
    </x:row>
    <x:row r="7">
      <x:c r="A7" t="str">
        <x:v>C06</x:v>
      </x:c>
      <x:c r="B7" t="str">
        <x:v>Brockington Rd northbound</x:v>
      </x:c>
      <x:c r="C7" t="str">
        <x:v>#02 Brockington Rd (Northbound)</x:v>
      </x:c>
      <x:c r="D7" s="38" t="n">
        <x:v>34.82933191</x:v>
      </x:c>
      <x:c r="E7" s="38" t="n">
        <x:v>-92.1910489</x:v>
      </x:c>
      <x:c r="F7" s="36" t="n">
        <x:v>3</x:v>
      </x:c>
      <x:c r="G7" s="36" t="n">
        <x:v>3</x:v>
      </x:c>
      <x:c r="H7" s="39" t="n">
        <x:f>F7/SUM($F$2:$F$13)</x:f>
        <x:v>0.0375</x:v>
      </x:c>
    </x:row>
    <x:row r="8">
      <x:c r="A8" t="str">
        <x:v>C07</x:v>
      </x:c>
      <x:c r="B8" t="str">
        <x:v>Landers Rd northbound</x:v>
      </x:c>
      <x:c r="C8" t="str">
        <x:v>#09 Landers Rd @ Tractor Supply NB</x:v>
      </x:c>
      <x:c r="D8" s="38" t="n">
        <x:v>34.80420882</x:v>
      </x:c>
      <x:c r="E8" s="38" t="n">
        <x:v>-92.21140889</x:v>
      </x:c>
      <x:c r="F8" s="36" t="n">
        <x:v>2</x:v>
      </x:c>
      <x:c r="G8" s="36" t="n">
        <x:v>2</x:v>
      </x:c>
      <x:c r="H8" s="39" t="n">
        <x:f>F8/SUM($F$2:$F$13)</x:f>
        <x:v>0.025</x:v>
      </x:c>
    </x:row>
    <x:row r="9">
      <x:c r="A9" t="str">
        <x:v>C08</x:v>
      </x:c>
      <x:c r="B9" t="str">
        <x:v>Jacksonville Cutoff Rd westbound — city limits</x:v>
      </x:c>
      <x:c r="C9" t="str">
        <x:v>#07 Jacksonville Cutoff Rd @ East Bound City Limits WB</x:v>
      </x:c>
      <x:c r="D9" s="38" t="n">
        <x:v>34.86934534</x:v>
      </x:c>
      <x:c r="E9" s="38" t="n">
        <x:v>-92.17135008</x:v>
      </x:c>
      <x:c r="F9" s="36" t="n">
        <x:v>3</x:v>
      </x:c>
      <x:c r="G9" s="36" t="n">
        <x:v>3</x:v>
      </x:c>
      <x:c r="H9" s="39" t="n">
        <x:f>F9/SUM($F$2:$F$13)</x:f>
        <x:v>0.0375</x:v>
      </x:c>
    </x:row>
    <x:row r="10">
      <x:c r="A10" t="str">
        <x:v>C09</x:v>
      </x:c>
      <x:c r="B10" t="str">
        <x:v>Jacksonville Cutoff Rd eastbound — Old West Main</x:v>
      </x:c>
      <x:c r="C10" t="str">
        <x:v>#06 Jacksonville Cutoff Rd @ Old West Main EB</x:v>
      </x:c>
      <x:c r="D10" s="38" t="n">
        <x:v>34.86822463</x:v>
      </x:c>
      <x:c r="E10" s="38" t="n">
        <x:v>-92.17250685</x:v>
      </x:c>
      <x:c r="F10" s="36" t="n">
        <x:v>1</x:v>
      </x:c>
      <x:c r="G10" s="36" t="n">
        <x:v>1</x:v>
      </x:c>
      <x:c r="H10" s="39" t="n">
        <x:f>F10/SUM($F$2:$F$13)</x:f>
        <x:v>0.0125</x:v>
      </x:c>
    </x:row>
    <x:row r="11">
      <x:c r="A11" t="str">
        <x:v>C10</x:v>
      </x:c>
      <x:c r="B11" t="str">
        <x:v>Wildwood Ave westbound — Heritage Dr</x:v>
      </x:c>
      <x:c r="C11" t="str">
        <x:v>#10 Wildwood Ave @ Heritage Dr WB</x:v>
      </x:c>
      <x:c r="D11" s="38" t="n">
        <x:v>34.81442518</x:v>
      </x:c>
      <x:c r="E11" s="38" t="n">
        <x:v>-92.20538867</x:v>
      </x:c>
      <x:c r="F11" s="36" t="n">
        <x:v>1</x:v>
      </x:c>
      <x:c r="G11" s="36" t="n">
        <x:v>1</x:v>
      </x:c>
      <x:c r="H11" s="39" t="n">
        <x:f>F11/SUM($F$2:$F$13)</x:f>
        <x:v>0.0125</x:v>
      </x:c>
    </x:row>
    <x:row r="12">
      <x:c r="A12" t="str">
        <x:v>C11</x:v>
      </x:c>
      <x:c r="B12" t="str">
        <x:v>West Maryland Ave westbound</x:v>
      </x:c>
      <x:c r="C12" t="str">
        <x:v>#05 West Maryland Ave (Westbound)</x:v>
      </x:c>
      <x:c r="D12" s="38" t="n">
        <x:v>34.84075957</x:v>
      </x:c>
      <x:c r="E12" s="38" t="n">
        <x:v>-92.24330977</x:v>
      </x:c>
      <x:c r="F12" s="36" t="n">
        <x:v>1</x:v>
      </x:c>
      <x:c r="G12" s="36" t="n">
        <x:v>1</x:v>
      </x:c>
      <x:c r="H12" s="39" t="n">
        <x:f>F12/SUM($F$2:$F$13)</x:f>
        <x:v>0.0125</x:v>
      </x:c>
    </x:row>
    <x:row r="13">
      <x:c r="A13" t="str">
        <x:v>C12</x:v>
      </x:c>
      <x:c r="B13" t="str">
        <x:v>Hwy 107 southbound — General Samuels</x:v>
      </x:c>
      <x:c r="C13" t="str">
        <x:v>#07 Hwy 107 (Southbound) Near General Samuels</x:v>
      </x:c>
      <x:c r="D13" s="38" t="n">
        <x:v>34.88060988</x:v>
      </x:c>
      <x:c r="E13" s="38" t="n">
        <x:v>-92.18205206</x:v>
      </x:c>
      <x:c r="F13" s="36" t="n">
        <x:v>2</x:v>
      </x:c>
      <x:c r="G13" s="36" t="n">
        <x:v>2</x:v>
      </x:c>
      <x:c r="H13" s="39" t="n">
        <x:f>F13/SUM($F$2:$F$13)</x:f>
        <x:v>0.025</x:v>
      </x:c>
    </x:row>
  </x:sheetData>
  <x:pageMargins left="0.7" right="0.7" top="0.75" bottom="0.75" header="0.3" footer="0.3"/>
  <x:tableParts count="1">
    <x:tablePart xmlns:r="http://schemas.openxmlformats.org/officeDocument/2006/relationships" r:id="Reef3a7daab2440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34" hidden="0" customWidth="1"/>
    <x:col min="4" max="4" width="38" hidden="0" customWidth="1"/>
    <x:col min="5" max="5" width="13" hidden="0" customWidth="1"/>
    <x:col min="6" max="6" width="16" hidden="0" customWidth="1"/>
    <x:col min="7" max="7" width="15" hidden="0" customWidth="1"/>
    <x:col min="8" max="8" width="16" hidden="0" customWidth="1"/>
    <x:col min="9" max="9" width="18" hidden="0" customWidth="1"/>
    <x:col min="10" max="10" width="50" hidden="0" customWidth="1"/>
    <x:col min="11" max="11" width="18" hidden="0" customWidth="1"/>
  </x:cols>
  <x:sheetData>
    <x:row r="1" ht="30" customHeight="1">
      <x:c r="A1" s="14" t="str">
        <x:v>From ID</x:v>
      </x:c>
      <x:c r="B1" s="21" t="str">
        <x:v>To ID</x:v>
      </x:c>
      <x:c r="C1" s="21" t="str">
        <x:v>From camera</x:v>
      </x:c>
      <x:c r="D1" s="21" t="str">
        <x:v>To camera</x:v>
      </x:c>
      <x:c r="E1" s="21" t="str">
        <x:v>Occurrences</x:v>
      </x:c>
      <x:c r="F1" s="21" t="str">
        <x:v>Minimum minutes</x:v>
      </x:c>
      <x:c r="G1" s="21" t="str">
        <x:v>Median minutes</x:v>
      </x:c>
      <x:c r="H1" s="21" t="str">
        <x:v>Maximum minutes</x:v>
      </x:c>
      <x:c r="I1" s="21" t="str">
        <x:v>Dates represented</x:v>
      </x:c>
      <x:c r="J1" s="21" t="str">
        <x:v>Dates</x:v>
      </x:c>
      <x:c r="K1" s="15" t="str">
        <x:v>Straight-line miles</x:v>
      </x:c>
    </x:row>
    <x:row r="2">
      <x:c r="A2" t="str">
        <x:v>C03</x:v>
      </x:c>
      <x:c r="B2" t="str">
        <x:v>C04</x:v>
      </x:c>
      <x:c r="C2" t="str">
        <x:v>Hwy 107 northbound — North Hills</x:v>
      </x:c>
      <x:c r="D2" t="str">
        <x:v>Kellogg Acres Rd northbound — city limits</x:v>
      </x:c>
      <x:c r="E2" s="36" t="n">
        <x:v>20</x:v>
      </x:c>
      <x:c r="F2" s="37" t="n">
        <x:v>5.8</x:v>
      </x:c>
      <x:c r="G2" s="37" t="n">
        <x:v>6.9</x:v>
      </x:c>
      <x:c r="H2" s="37" t="n">
        <x:v>19.4</x:v>
      </x:c>
      <x:c r="I2" s="36" t="n">
        <x:v>16</x:v>
      </x:c>
      <x:c r="J2" t="str">
        <x:v>2026-06-05, 2026-06-06, 2026-06-07, 2026-06-08, 2026-06-13, 2026-06-14, 2026-06-16, 2026-06-18, 2026-06-19, 2026-06-20, 2026-06-21, 2026-06-23, 2026-06-24, 2026-06-26, 2026-06-27, 2026-06-28</x:v>
      </x:c>
      <x:c r="K2" s="40" t="n">
        <x:v>3.53</x:v>
      </x:c>
    </x:row>
    <x:row r="3">
      <x:c r="A3" t="str">
        <x:v>C01</x:v>
      </x:c>
      <x:c r="B3" t="str">
        <x:v>C02</x:v>
      </x:c>
      <x:c r="C3" t="str">
        <x:v>Brockington Rd southbound</x:v>
      </x:c>
      <x:c r="D3" t="str">
        <x:v>Warden Rd southbound</x:v>
      </x:c>
      <x:c r="E3" s="36" t="n">
        <x:v>2</x:v>
      </x:c>
      <x:c r="F3" s="37" t="n">
        <x:v>2.7</x:v>
      </x:c>
      <x:c r="G3" s="37" t="n">
        <x:v>5.1</x:v>
      </x:c>
      <x:c r="H3" s="37" t="n">
        <x:v>7.6</x:v>
      </x:c>
      <x:c r="I3" s="36" t="n">
        <x:v>2</x:v>
      </x:c>
      <x:c r="J3" t="str">
        <x:v>2026-06-04, 2026-06-07</x:v>
      </x:c>
      <x:c r="K3" s="40" t="n">
        <x:v>1.27</x:v>
      </x:c>
    </x:row>
    <x:row r="4">
      <x:c r="A4" t="str">
        <x:v>C02</x:v>
      </x:c>
      <x:c r="B4" t="str">
        <x:v>C07</x:v>
      </x:c>
      <x:c r="C4" t="str">
        <x:v>Warden Rd southbound</x:v>
      </x:c>
      <x:c r="D4" t="str">
        <x:v>Landers Rd northbound</x:v>
      </x:c>
      <x:c r="E4" s="36" t="n">
        <x:v>1</x:v>
      </x:c>
      <x:c r="F4" s="37" t="n">
        <x:v>1.5</x:v>
      </x:c>
      <x:c r="G4" s="37" t="n">
        <x:v>1.5</x:v>
      </x:c>
      <x:c r="H4" s="37" t="n">
        <x:v>1.5</x:v>
      </x:c>
      <x:c r="I4" s="36" t="n">
        <x:v>1</x:v>
      </x:c>
      <x:c r="J4" t="str">
        <x:v>2026-06-07</x:v>
      </x:c>
      <x:c r="K4" s="40" t="n">
        <x:v>0.68</x:v>
      </x:c>
    </x:row>
    <x:row r="5">
      <x:c r="A5" t="str">
        <x:v>C06</x:v>
      </x:c>
      <x:c r="B5" t="str">
        <x:v>C04</x:v>
      </x:c>
      <x:c r="C5" t="str">
        <x:v>Brockington Rd northbound</x:v>
      </x:c>
      <x:c r="D5" t="str">
        <x:v>Kellogg Acres Rd northbound — city limits</x:v>
      </x:c>
      <x:c r="E5" s="36" t="n">
        <x:v>1</x:v>
      </x:c>
      <x:c r="F5" s="37" t="n">
        <x:v>7.8</x:v>
      </x:c>
      <x:c r="G5" s="37" t="n">
        <x:v>7.8</x:v>
      </x:c>
      <x:c r="H5" s="37" t="n">
        <x:v>7.8</x:v>
      </x:c>
      <x:c r="I5" s="36" t="n">
        <x:v>1</x:v>
      </x:c>
      <x:c r="J5" t="str">
        <x:v>2026-06-14</x:v>
      </x:c>
      <x:c r="K5" s="40" t="n">
        <x:v>3.7</x:v>
      </x:c>
    </x:row>
    <x:row r="6">
      <x:c r="A6" t="str">
        <x:v>C10</x:v>
      </x:c>
      <x:c r="B6" t="str">
        <x:v>C02</x:v>
      </x:c>
      <x:c r="C6" t="str">
        <x:v>Wildwood Ave westbound — Heritage Dr</x:v>
      </x:c>
      <x:c r="D6" t="str">
        <x:v>Warden Rd southbound</x:v>
      </x:c>
      <x:c r="E6" s="36" t="n">
        <x:v>1</x:v>
      </x:c>
      <x:c r="F6" s="37" t="n">
        <x:v>13.7</x:v>
      </x:c>
      <x:c r="G6" s="37" t="n">
        <x:v>13.7</x:v>
      </x:c>
      <x:c r="H6" s="37" t="n">
        <x:v>13.7</x:v>
      </x:c>
      <x:c r="I6" s="36" t="n">
        <x:v>1</x:v>
      </x:c>
      <x:c r="J6" t="str">
        <x:v>2026-06-19</x:v>
      </x:c>
      <x:c r="K6" s="40" t="n">
        <x:v>0.13</x:v>
      </x:c>
    </x:row>
  </x:sheetData>
  <x:pageMargins left="0.7" right="0.7" top="0.75" bottom="0.75" header="0.3" footer="0.3"/>
  <x:tableParts count="1">
    <x:tablePart xmlns:r="http://schemas.openxmlformats.org/officeDocument/2006/relationships" r:id="Rc271d6a6d5c84b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13" hidden="0" customWidth="1"/>
    <x:col min="5" max="5" width="23" hidden="0" customWidth="1"/>
    <x:col min="6" max="6" width="11" hidden="0" customWidth="1"/>
    <x:col min="7" max="7" width="38" hidden="0" customWidth="1"/>
    <x:col min="8" max="8" width="54" hidden="0" customWidth="1"/>
    <x:col min="9" max="9" width="15" hidden="0" customWidth="1"/>
    <x:col min="10" max="10" width="15" hidden="0" customWidth="1"/>
    <x:col min="11" max="11" width="21" hidden="0" customWidth="1"/>
    <x:col min="12" max="12" width="15" hidden="0" customWidth="1"/>
    <x:col min="13" max="13" width="22" hidden="0" customWidth="1"/>
    <x:col min="14" max="14" width="12" hidden="0" customWidth="1"/>
    <x:col min="15" max="15" width="12" hidden="0" customWidth="1"/>
  </x:cols>
  <x:sheetData>
    <x:row r="1" ht="30" customHeight="1">
      <x:c r="A1" s="14" t="str">
        <x:v>Sequence</x:v>
      </x:c>
      <x:c r="B1" s="21" t="str">
        <x:v>Vehicle</x:v>
      </x:c>
      <x:c r="C1" s="21" t="str">
        <x:v>Date</x:v>
      </x:c>
      <x:c r="D1" s="21" t="str">
        <x:v>Time (CDT)</x:v>
      </x:c>
      <x:c r="E1" s="21" t="str">
        <x:v>Timestamp (CDT)</x:v>
      </x:c>
      <x:c r="F1" s="21" t="str">
        <x:v>Camera ID</x:v>
      </x:c>
      <x:c r="G1" s="21" t="str">
        <x:v>Camera</x:v>
      </x:c>
      <x:c r="H1" s="21" t="str">
        <x:v>Source camera label</x:v>
      </x:c>
      <x:c r="I1" s="21" t="str">
        <x:v>Latitude</x:v>
      </x:c>
      <x:c r="J1" s="21" t="str">
        <x:v>Longitude</x:v>
      </x:c>
      <x:c r="K1" s="21" t="str">
        <x:v>Raw captures in burst</x:v>
      </x:c>
      <x:c r="L1" s="21" t="str">
        <x:v>Source make</x:v>
      </x:c>
      <x:c r="M1" s="21" t="str">
        <x:v>Make variants in burst</x:v>
      </x:c>
      <x:c r="N1" s="21" t="str">
        <x:v>Body</x:v>
      </x:c>
      <x:c r="O1" s="15" t="str">
        <x:v>Color</x:v>
      </x:c>
    </x:row>
    <x:row r="2">
      <x:c r="A2" s="36" t="n">
        <x:v>1</x:v>
      </x:c>
      <x:c r="B2" t="str">
        <x:v>Vehicle A</x:v>
      </x:c>
      <x:c r="C2" s="35" t="n">
        <x:v>46174.5</x:v>
      </x:c>
      <x:c r="D2" t="str">
        <x:v>17:41:16</x:v>
      </x:c>
      <x:c r="E2" t="str">
        <x:v>2026-06-01 17:41:16 CDT</x:v>
      </x:c>
      <x:c r="F2" t="str">
        <x:v>C04</x:v>
      </x:c>
      <x:c r="G2" t="str">
        <x:v>Kellogg Acres Rd northbound — city limits</x:v>
      </x:c>
      <x:c r="H2" t="str">
        <x:v>#04 Kellogg Acres Rd @ North City Limits NB</x:v>
      </x:c>
      <x:c r="I2" s="38" t="n">
        <x:v>34.87271694</x:v>
      </x:c>
      <x:c r="J2" s="38" t="n">
        <x:v>-92.22918117</x:v>
      </x:c>
      <x:c r="K2" s="36" t="n">
        <x:v>1</x:v>
      </x:c>
      <x:c r="L2" t="str">
        <x:v>Chevrolet</x:v>
      </x:c>
      <x:c r="M2" t="str">
        <x:v>Chevrolet</x:v>
      </x:c>
      <x:c r="N2" t="str">
        <x:v>Pickup</x:v>
      </x:c>
      <x:c r="O2" t="str">
        <x:v>white</x:v>
      </x:c>
    </x:row>
    <x:row r="3">
      <x:c r="A3" s="36" t="n">
        <x:v>2</x:v>
      </x:c>
      <x:c r="B3" t="str">
        <x:v>Vehicle A</x:v>
      </x:c>
      <x:c r="C3" s="35" t="n">
        <x:v>46177.5</x:v>
      </x:c>
      <x:c r="D3" t="str">
        <x:v>10:34:13</x:v>
      </x:c>
      <x:c r="E3" t="str">
        <x:v>2026-06-04 10:34:13 CDT</x:v>
      </x:c>
      <x:c r="F3" t="str">
        <x:v>C04</x:v>
      </x:c>
      <x:c r="G3" t="str">
        <x:v>Kellogg Acres Rd northbound — city limits</x:v>
      </x:c>
      <x:c r="H3" t="str">
        <x:v>#04 Kellogg Acres Rd @ North City Limits NB</x:v>
      </x:c>
      <x:c r="I3" s="38" t="n">
        <x:v>34.87271694</x:v>
      </x:c>
      <x:c r="J3" s="38" t="n">
        <x:v>-92.22918117</x:v>
      </x:c>
      <x:c r="K3" s="36" t="n">
        <x:v>1</x:v>
      </x:c>
      <x:c r="L3" t="str">
        <x:v>Chevrolet</x:v>
      </x:c>
      <x:c r="M3" t="str">
        <x:v>Chevrolet</x:v>
      </x:c>
      <x:c r="N3" t="str">
        <x:v>Pickup</x:v>
      </x:c>
      <x:c r="O3" t="str">
        <x:v>white</x:v>
      </x:c>
    </x:row>
    <x:row r="4">
      <x:c r="A4" s="36" t="n">
        <x:v>3</x:v>
      </x:c>
      <x:c r="B4" t="str">
        <x:v>Vehicle A</x:v>
      </x:c>
      <x:c r="C4" s="35" t="n">
        <x:v>46177.5</x:v>
      </x:c>
      <x:c r="D4" t="str">
        <x:v>15:05:27</x:v>
      </x:c>
      <x:c r="E4" t="str">
        <x:v>2026-06-04 15:05:27 CDT</x:v>
      </x:c>
      <x:c r="F4" t="str">
        <x:v>C01</x:v>
      </x:c>
      <x:c r="G4" t="str">
        <x:v>Brockington Rd southbound</x:v>
      </x:c>
      <x:c r="H4" t="str">
        <x:v>#01 Brockington Rd (Southbound)</x:v>
      </x:c>
      <x:c r="I4" s="38" t="n">
        <x:v>34.82712949</x:v>
      </x:c>
      <x:c r="J4" s="38" t="n">
        <x:v>-92.19130226</x:v>
      </x:c>
      <x:c r="K4" s="36" t="n">
        <x:v>1</x:v>
      </x:c>
      <x:c r="L4" t="str">
        <x:v>Chevrolet</x:v>
      </x:c>
      <x:c r="M4" t="str">
        <x:v>Chevrolet</x:v>
      </x:c>
      <x:c r="N4" t="str">
        <x:v>Pickup</x:v>
      </x:c>
      <x:c r="O4" t="str">
        <x:v>white</x:v>
      </x:c>
    </x:row>
    <x:row r="5">
      <x:c r="A5" s="36" t="n">
        <x:v>4</x:v>
      </x:c>
      <x:c r="B5" t="str">
        <x:v>Vehicle A</x:v>
      </x:c>
      <x:c r="C5" s="35" t="n">
        <x:v>46177.5</x:v>
      </x:c>
      <x:c r="D5" t="str">
        <x:v>15:13:01</x:v>
      </x:c>
      <x:c r="E5" t="str">
        <x:v>2026-06-04 15:13:01 CDT</x:v>
      </x:c>
      <x:c r="F5" t="str">
        <x:v>C02</x:v>
      </x:c>
      <x:c r="G5" t="str">
        <x:v>Warden Rd southbound</x:v>
      </x:c>
      <x:c r="H5" t="str">
        <x:v>#02 Warden Rd @ Saltgrass Steakhouse SB</x:v>
      </x:c>
      <x:c r="I5" s="38" t="n">
        <x:v>34.81258891</x:v>
      </x:c>
      <x:c r="J5" s="38" t="n">
        <x:v>-92.20502351</x:v>
      </x:c>
      <x:c r="K5" s="36" t="n">
        <x:v>1</x:v>
      </x:c>
      <x:c r="L5" t="str">
        <x:v>Other</x:v>
      </x:c>
      <x:c r="M5" t="str">
        <x:v>Other</x:v>
      </x:c>
      <x:c r="N5" t="str">
        <x:v>Pickup</x:v>
      </x:c>
      <x:c r="O5" t="str">
        <x:v>white</x:v>
      </x:c>
    </x:row>
    <x:row r="6">
      <x:c r="A6" s="36" t="n">
        <x:v>5</x:v>
      </x:c>
      <x:c r="B6" t="str">
        <x:v>Vehicle A</x:v>
      </x:c>
      <x:c r="C6" s="35" t="n">
        <x:v>46178.5</x:v>
      </x:c>
      <x:c r="D6" t="str">
        <x:v>09:23:01</x:v>
      </x:c>
      <x:c r="E6" t="str">
        <x:v>2026-06-05 09:23:01 CDT</x:v>
      </x:c>
      <x:c r="F6" t="str">
        <x:v>C03</x:v>
      </x:c>
      <x:c r="G6" t="str">
        <x:v>Hwy 107 northbound — North Hills</x:v>
      </x:c>
      <x:c r="H6" t="str">
        <x:v>#05 Hwy 107 (Northbound) Greens at North Hills</x:v>
      </x:c>
      <x:c r="I6" s="38" t="n">
        <x:v>34.8217311</x:v>
      </x:c>
      <x:c r="J6" s="38" t="n">
        <x:v>-92.2313695</x:v>
      </x:c>
      <x:c r="K6" s="36" t="n">
        <x:v>1</x:v>
      </x:c>
      <x:c r="L6" t="str">
        <x:v>Chevrolet</x:v>
      </x:c>
      <x:c r="M6" t="str">
        <x:v>Chevrolet</x:v>
      </x:c>
      <x:c r="N6" t="str">
        <x:v>Pickup</x:v>
      </x:c>
      <x:c r="O6" t="str">
        <x:v>white</x:v>
      </x:c>
    </x:row>
    <x:row r="7">
      <x:c r="A7" s="36" t="n">
        <x:v>6</x:v>
      </x:c>
      <x:c r="B7" t="str">
        <x:v>Vehicle A</x:v>
      </x:c>
      <x:c r="C7" s="35" t="n">
        <x:v>46178.5</x:v>
      </x:c>
      <x:c r="D7" t="str">
        <x:v>09:29:43</x:v>
      </x:c>
      <x:c r="E7" t="str">
        <x:v>2026-06-05 09:29:43 CDT</x:v>
      </x:c>
      <x:c r="F7" t="str">
        <x:v>C04</x:v>
      </x:c>
      <x:c r="G7" t="str">
        <x:v>Kellogg Acres Rd northbound — city limits</x:v>
      </x:c>
      <x:c r="H7" t="str">
        <x:v>#04 Kellogg Acres Rd @ North City Limits NB</x:v>
      </x:c>
      <x:c r="I7" s="38" t="n">
        <x:v>34.87271694</x:v>
      </x:c>
      <x:c r="J7" s="38" t="n">
        <x:v>-92.22918117</x:v>
      </x:c>
      <x:c r="K7" s="36" t="n">
        <x:v>1</x:v>
      </x:c>
      <x:c r="L7" t="str">
        <x:v>Ram</x:v>
      </x:c>
      <x:c r="M7" t="str">
        <x:v>Ram</x:v>
      </x:c>
      <x:c r="N7" t="str">
        <x:v>Pickup</x:v>
      </x:c>
      <x:c r="O7" t="str">
        <x:v>white</x:v>
      </x:c>
    </x:row>
    <x:row r="8">
      <x:c r="A8" s="36" t="n">
        <x:v>7</x:v>
      </x:c>
      <x:c r="B8" t="str">
        <x:v>Vehicle A</x:v>
      </x:c>
      <x:c r="C8" s="35" t="n">
        <x:v>46178.5</x:v>
      </x:c>
      <x:c r="D8" t="str">
        <x:v>11:45:01</x:v>
      </x:c>
      <x:c r="E8" t="str">
        <x:v>2026-06-05 11:45:01 CDT</x:v>
      </x:c>
      <x:c r="F8" t="str">
        <x:v>C05</x:v>
      </x:c>
      <x:c r="G8" t="str">
        <x:v>Hwy 107 southbound — North Hills</x:v>
      </x:c>
      <x:c r="H8" t="str">
        <x:v>#06 Hwy 107 Southbound Near Taco Bell at North Hills Blvd.</x:v>
      </x:c>
      <x:c r="I8" s="38" t="n">
        <x:v>34.82041424</x:v>
      </x:c>
      <x:c r="J8" s="38" t="n">
        <x:v>-92.2329764</x:v>
      </x:c>
      <x:c r="K8" s="36" t="n">
        <x:v>1</x:v>
      </x:c>
      <x:c r="L8" t="str">
        <x:v>Chevrolet</x:v>
      </x:c>
      <x:c r="M8" t="str">
        <x:v>Chevrolet</x:v>
      </x:c>
      <x:c r="N8" t="str">
        <x:v>Pickup</x:v>
      </x:c>
      <x:c r="O8" t="str">
        <x:v>white</x:v>
      </x:c>
    </x:row>
    <x:row r="9">
      <x:c r="A9" s="36" t="n">
        <x:v>8</x:v>
      </x:c>
      <x:c r="B9" t="str">
        <x:v>Vehicle A</x:v>
      </x:c>
      <x:c r="C9" s="35" t="n">
        <x:v>46178.5</x:v>
      </x:c>
      <x:c r="D9" t="str">
        <x:v>13:22:18</x:v>
      </x:c>
      <x:c r="E9" t="str">
        <x:v>2026-06-05 13:22:18 CDT</x:v>
      </x:c>
      <x:c r="F9" t="str">
        <x:v>C03</x:v>
      </x:c>
      <x:c r="G9" t="str">
        <x:v>Hwy 107 northbound — North Hills</x:v>
      </x:c>
      <x:c r="H9" t="str">
        <x:v>#05 Hwy 107 (Northbound) Greens at North Hills</x:v>
      </x:c>
      <x:c r="I9" s="38" t="n">
        <x:v>34.8217311</x:v>
      </x:c>
      <x:c r="J9" s="38" t="n">
        <x:v>-92.2313695</x:v>
      </x:c>
      <x:c r="K9" s="36" t="n">
        <x:v>1</x:v>
      </x:c>
      <x:c r="L9" t="str">
        <x:v>Chevrolet</x:v>
      </x:c>
      <x:c r="M9" t="str">
        <x:v>Chevrolet</x:v>
      </x:c>
      <x:c r="N9" t="str">
        <x:v>Pickup</x:v>
      </x:c>
      <x:c r="O9" t="str">
        <x:v>white</x:v>
      </x:c>
    </x:row>
    <x:row r="10">
      <x:c r="A10" s="36" t="n">
        <x:v>9</x:v>
      </x:c>
      <x:c r="B10" t="str">
        <x:v>Vehicle A</x:v>
      </x:c>
      <x:c r="C10" s="35" t="n">
        <x:v>46178.5</x:v>
      </x:c>
      <x:c r="D10" t="str">
        <x:v>13:30:05</x:v>
      </x:c>
      <x:c r="E10" t="str">
        <x:v>2026-06-05 13:30:05 CDT</x:v>
      </x:c>
      <x:c r="F10" t="str">
        <x:v>C04</x:v>
      </x:c>
      <x:c r="G10" t="str">
        <x:v>Kellogg Acres Rd northbound — city limits</x:v>
      </x:c>
      <x:c r="H10" t="str">
        <x:v>#04 Kellogg Acres Rd @ North City Limits NB</x:v>
      </x:c>
      <x:c r="I10" s="38" t="n">
        <x:v>34.87271694</x:v>
      </x:c>
      <x:c r="J10" s="38" t="n">
        <x:v>-92.22918117</x:v>
      </x:c>
      <x:c r="K10" s="36" t="n">
        <x:v>1</x:v>
      </x:c>
      <x:c r="L10" t="str">
        <x:v>Ram</x:v>
      </x:c>
      <x:c r="M10" t="str">
        <x:v>Ram</x:v>
      </x:c>
      <x:c r="N10" t="str">
        <x:v>Pickup</x:v>
      </x:c>
      <x:c r="O10" t="str">
        <x:v>white</x:v>
      </x:c>
    </x:row>
    <x:row r="11">
      <x:c r="A11" s="36" t="n">
        <x:v>10</x:v>
      </x:c>
      <x:c r="B11" t="str">
        <x:v>Vehicle A</x:v>
      </x:c>
      <x:c r="C11" s="35" t="n">
        <x:v>46178.5</x:v>
      </x:c>
      <x:c r="D11" t="str">
        <x:v>15:24:33</x:v>
      </x:c>
      <x:c r="E11" t="str">
        <x:v>2026-06-05 15:24:33 CDT</x:v>
      </x:c>
      <x:c r="F11" t="str">
        <x:v>C05</x:v>
      </x:c>
      <x:c r="G11" t="str">
        <x:v>Hwy 107 southbound — North Hills</x:v>
      </x:c>
      <x:c r="H11" t="str">
        <x:v>#06 Hwy 107 Southbound Near Taco Bell at North Hills Blvd.</x:v>
      </x:c>
      <x:c r="I11" s="38" t="n">
        <x:v>34.82041424</x:v>
      </x:c>
      <x:c r="J11" s="38" t="n">
        <x:v>-92.2329764</x:v>
      </x:c>
      <x:c r="K11" s="36" t="n">
        <x:v>4</x:v>
      </x:c>
      <x:c r="L11" t="str">
        <x:v>Chevrolet</x:v>
      </x:c>
      <x:c r="M11" t="str">
        <x:v>Chevrolet</x:v>
      </x:c>
      <x:c r="N11" t="str">
        <x:v>Pickup</x:v>
      </x:c>
      <x:c r="O11" t="str">
        <x:v>white</x:v>
      </x:c>
    </x:row>
    <x:row r="12">
      <x:c r="A12" s="36" t="n">
        <x:v>11</x:v>
      </x:c>
      <x:c r="B12" t="str">
        <x:v>Vehicle A</x:v>
      </x:c>
      <x:c r="C12" s="35" t="n">
        <x:v>46178.5</x:v>
      </x:c>
      <x:c r="D12" t="str">
        <x:v>16:06:43</x:v>
      </x:c>
      <x:c r="E12" t="str">
        <x:v>2026-06-05 16:06:43 CDT</x:v>
      </x:c>
      <x:c r="F12" t="str">
        <x:v>C03</x:v>
      </x:c>
      <x:c r="G12" t="str">
        <x:v>Hwy 107 northbound — North Hills</x:v>
      </x:c>
      <x:c r="H12" t="str">
        <x:v>#05 Hwy 107 (Northbound) Greens at North Hills</x:v>
      </x:c>
      <x:c r="I12" s="38" t="n">
        <x:v>34.8217311</x:v>
      </x:c>
      <x:c r="J12" s="38" t="n">
        <x:v>-92.2313695</x:v>
      </x:c>
      <x:c r="K12" s="36" t="n">
        <x:v>1</x:v>
      </x:c>
      <x:c r="L12" t="str">
        <x:v>GMC</x:v>
      </x:c>
      <x:c r="M12" t="str">
        <x:v>GMC</x:v>
      </x:c>
      <x:c r="N12" t="str">
        <x:v>Pickup</x:v>
      </x:c>
      <x:c r="O12" t="str">
        <x:v>white</x:v>
      </x:c>
    </x:row>
    <x:row r="13">
      <x:c r="A13" s="36" t="n">
        <x:v>12</x:v>
      </x:c>
      <x:c r="B13" t="str">
        <x:v>Vehicle A</x:v>
      </x:c>
      <x:c r="C13" s="35" t="n">
        <x:v>46178.5</x:v>
      </x:c>
      <x:c r="D13" t="str">
        <x:v>16:18:13</x:v>
      </x:c>
      <x:c r="E13" t="str">
        <x:v>2026-06-05 16:18:13 CDT</x:v>
      </x:c>
      <x:c r="F13" t="str">
        <x:v>C04</x:v>
      </x:c>
      <x:c r="G13" t="str">
        <x:v>Kellogg Acres Rd northbound — city limits</x:v>
      </x:c>
      <x:c r="H13" t="str">
        <x:v>#04 Kellogg Acres Rd @ North City Limits NB</x:v>
      </x:c>
      <x:c r="I13" s="38" t="n">
        <x:v>34.87271694</x:v>
      </x:c>
      <x:c r="J13" s="38" t="n">
        <x:v>-92.22918117</x:v>
      </x:c>
      <x:c r="K13" s="36" t="n">
        <x:v>1</x:v>
      </x:c>
      <x:c r="L13" t="str">
        <x:v>Chevrolet</x:v>
      </x:c>
      <x:c r="M13" t="str">
        <x:v>Chevrolet</x:v>
      </x:c>
      <x:c r="N13" t="str">
        <x:v>Pickup</x:v>
      </x:c>
      <x:c r="O13" t="str">
        <x:v>white</x:v>
      </x:c>
    </x:row>
    <x:row r="14">
      <x:c r="A14" s="36" t="n">
        <x:v>13</x:v>
      </x:c>
      <x:c r="B14" t="str">
        <x:v>Vehicle A</x:v>
      </x:c>
      <x:c r="C14" s="35" t="n">
        <x:v>46179.5</x:v>
      </x:c>
      <x:c r="D14" t="str">
        <x:v>09:33:08</x:v>
      </x:c>
      <x:c r="E14" t="str">
        <x:v>2026-06-06 09:33:08 CDT</x:v>
      </x:c>
      <x:c r="F14" t="str">
        <x:v>C04</x:v>
      </x:c>
      <x:c r="G14" t="str">
        <x:v>Kellogg Acres Rd northbound — city limits</x:v>
      </x:c>
      <x:c r="H14" t="str">
        <x:v>#04 Kellogg Acres Rd @ North City Limits NB</x:v>
      </x:c>
      <x:c r="I14" s="38" t="n">
        <x:v>34.87271694</x:v>
      </x:c>
      <x:c r="J14" s="38" t="n">
        <x:v>-92.22918117</x:v>
      </x:c>
      <x:c r="K14" s="36" t="n">
        <x:v>1</x:v>
      </x:c>
      <x:c r="L14" t="str">
        <x:v>Chevrolet</x:v>
      </x:c>
      <x:c r="M14" t="str">
        <x:v>Chevrolet</x:v>
      </x:c>
      <x:c r="N14" t="str">
        <x:v>Pickup</x:v>
      </x:c>
      <x:c r="O14" t="str">
        <x:v>white</x:v>
      </x:c>
    </x:row>
    <x:row r="15">
      <x:c r="A15" s="36" t="n">
        <x:v>14</x:v>
      </x:c>
      <x:c r="B15" t="str">
        <x:v>Vehicle A</x:v>
      </x:c>
      <x:c r="C15" s="35" t="n">
        <x:v>46179.5</x:v>
      </x:c>
      <x:c r="D15" t="str">
        <x:v>14:33:44</x:v>
      </x:c>
      <x:c r="E15" t="str">
        <x:v>2026-06-06 14:33:44 CDT</x:v>
      </x:c>
      <x:c r="F15" t="str">
        <x:v>C05</x:v>
      </x:c>
      <x:c r="G15" t="str">
        <x:v>Hwy 107 southbound — North Hills</x:v>
      </x:c>
      <x:c r="H15" t="str">
        <x:v>#06 Hwy 107 Southbound Near Taco Bell at North Hills Blvd.</x:v>
      </x:c>
      <x:c r="I15" s="38" t="n">
        <x:v>34.82041424</x:v>
      </x:c>
      <x:c r="J15" s="38" t="n">
        <x:v>-92.2329764</x:v>
      </x:c>
      <x:c r="K15" s="36" t="n">
        <x:v>1</x:v>
      </x:c>
      <x:c r="L15" t="str">
        <x:v>Chevrolet</x:v>
      </x:c>
      <x:c r="M15" t="str">
        <x:v>Chevrolet</x:v>
      </x:c>
      <x:c r="N15" t="str">
        <x:v>Pickup</x:v>
      </x:c>
      <x:c r="O15" t="str">
        <x:v>white</x:v>
      </x:c>
    </x:row>
    <x:row r="16">
      <x:c r="A16" s="36" t="n">
        <x:v>15</x:v>
      </x:c>
      <x:c r="B16" t="str">
        <x:v>Vehicle A</x:v>
      </x:c>
      <x:c r="C16" s="35" t="n">
        <x:v>46179.5</x:v>
      </x:c>
      <x:c r="D16" t="str">
        <x:v>16:08:05</x:v>
      </x:c>
      <x:c r="E16" t="str">
        <x:v>2026-06-06 16:08:05 CDT</x:v>
      </x:c>
      <x:c r="F16" t="str">
        <x:v>C03</x:v>
      </x:c>
      <x:c r="G16" t="str">
        <x:v>Hwy 107 northbound — North Hills</x:v>
      </x:c>
      <x:c r="H16" t="str">
        <x:v>#05 Hwy 107 (Northbound) Greens at North Hills</x:v>
      </x:c>
      <x:c r="I16" s="38" t="n">
        <x:v>34.8217311</x:v>
      </x:c>
      <x:c r="J16" s="38" t="n">
        <x:v>-92.2313695</x:v>
      </x:c>
      <x:c r="K16" s="36" t="n">
        <x:v>1</x:v>
      </x:c>
      <x:c r="L16" t="str">
        <x:v>GMC</x:v>
      </x:c>
      <x:c r="M16" t="str">
        <x:v>GMC</x:v>
      </x:c>
      <x:c r="N16" t="str">
        <x:v>Pickup</x:v>
      </x:c>
      <x:c r="O16" t="str">
        <x:v>white</x:v>
      </x:c>
    </x:row>
    <x:row r="17">
      <x:c r="A17" s="36" t="n">
        <x:v>16</x:v>
      </x:c>
      <x:c r="B17" t="str">
        <x:v>Vehicle A</x:v>
      </x:c>
      <x:c r="C17" s="35" t="n">
        <x:v>46179.5</x:v>
      </x:c>
      <x:c r="D17" t="str">
        <x:v>16:15:02</x:v>
      </x:c>
      <x:c r="E17" t="str">
        <x:v>2026-06-06 16:15:02 CDT</x:v>
      </x:c>
      <x:c r="F17" t="str">
        <x:v>C04</x:v>
      </x:c>
      <x:c r="G17" t="str">
        <x:v>Kellogg Acres Rd northbound — city limits</x:v>
      </x:c>
      <x:c r="H17" t="str">
        <x:v>#04 Kellogg Acres Rd @ North City Limits NB</x:v>
      </x:c>
      <x:c r="I17" s="38" t="n">
        <x:v>34.87271694</x:v>
      </x:c>
      <x:c r="J17" s="38" t="n">
        <x:v>-92.22918117</x:v>
      </x:c>
      <x:c r="K17" s="36" t="n">
        <x:v>1</x:v>
      </x:c>
      <x:c r="L17" t="str">
        <x:v>Chevrolet</x:v>
      </x:c>
      <x:c r="M17" t="str">
        <x:v>Chevrolet</x:v>
      </x:c>
      <x:c r="N17" t="str">
        <x:v>Pickup</x:v>
      </x:c>
      <x:c r="O17" t="str">
        <x:v>white</x:v>
      </x:c>
    </x:row>
    <x:row r="18">
      <x:c r="A18" s="36" t="n">
        <x:v>17</x:v>
      </x:c>
      <x:c r="B18" t="str">
        <x:v>Vehicle A</x:v>
      </x:c>
      <x:c r="C18" s="35" t="n">
        <x:v>46180.5</x:v>
      </x:c>
      <x:c r="D18" t="str">
        <x:v>09:44:47</x:v>
      </x:c>
      <x:c r="E18" t="str">
        <x:v>2026-06-07 09:44:47 CDT</x:v>
      </x:c>
      <x:c r="F18" t="str">
        <x:v>C01</x:v>
      </x:c>
      <x:c r="G18" t="str">
        <x:v>Brockington Rd southbound</x:v>
      </x:c>
      <x:c r="H18" t="str">
        <x:v>#01 Brockington Rd (Southbound)</x:v>
      </x:c>
      <x:c r="I18" s="38" t="n">
        <x:v>34.82712949</x:v>
      </x:c>
      <x:c r="J18" s="38" t="n">
        <x:v>-92.19130226</x:v>
      </x:c>
      <x:c r="K18" s="36" t="n">
        <x:v>1</x:v>
      </x:c>
      <x:c r="L18" t="str">
        <x:v>Chevrolet</x:v>
      </x:c>
      <x:c r="M18" t="str">
        <x:v>Chevrolet</x:v>
      </x:c>
      <x:c r="N18" t="str">
        <x:v>Pickup</x:v>
      </x:c>
      <x:c r="O18" t="str">
        <x:v>white</x:v>
      </x:c>
    </x:row>
    <x:row r="19">
      <x:c r="A19" s="36" t="n">
        <x:v>18</x:v>
      </x:c>
      <x:c r="B19" t="str">
        <x:v>Vehicle A</x:v>
      </x:c>
      <x:c r="C19" s="35" t="n">
        <x:v>46180.5</x:v>
      </x:c>
      <x:c r="D19" t="str">
        <x:v>09:47:28</x:v>
      </x:c>
      <x:c r="E19" t="str">
        <x:v>2026-06-07 09:47:28 CDT</x:v>
      </x:c>
      <x:c r="F19" t="str">
        <x:v>C02</x:v>
      </x:c>
      <x:c r="G19" t="str">
        <x:v>Warden Rd southbound</x:v>
      </x:c>
      <x:c r="H19" t="str">
        <x:v>#02 Warden Rd @ Saltgrass Steakhouse SB</x:v>
      </x:c>
      <x:c r="I19" s="38" t="n">
        <x:v>34.81258891</x:v>
      </x:c>
      <x:c r="J19" s="38" t="n">
        <x:v>-92.20502351</x:v>
      </x:c>
      <x:c r="K19" s="36" t="n">
        <x:v>1</x:v>
      </x:c>
      <x:c r="L19" t="str">
        <x:v>Chevrolet</x:v>
      </x:c>
      <x:c r="M19" t="str">
        <x:v>Chevrolet</x:v>
      </x:c>
      <x:c r="N19" t="str">
        <x:v>Pickup</x:v>
      </x:c>
      <x:c r="O19" t="str">
        <x:v>white</x:v>
      </x:c>
    </x:row>
    <x:row r="20">
      <x:c r="A20" s="36" t="n">
        <x:v>19</x:v>
      </x:c>
      <x:c r="B20" t="str">
        <x:v>Vehicle A</x:v>
      </x:c>
      <x:c r="C20" s="35" t="n">
        <x:v>46180.5</x:v>
      </x:c>
      <x:c r="D20" t="str">
        <x:v>09:48:59</x:v>
      </x:c>
      <x:c r="E20" t="str">
        <x:v>2026-06-07 09:48:59 CDT</x:v>
      </x:c>
      <x:c r="F20" t="str">
        <x:v>C07</x:v>
      </x:c>
      <x:c r="G20" t="str">
        <x:v>Landers Rd northbound</x:v>
      </x:c>
      <x:c r="H20" t="str">
        <x:v>#09 Landers Rd @ Tractor Supply NB</x:v>
      </x:c>
      <x:c r="I20" s="38" t="n">
        <x:v>34.80420882</x:v>
      </x:c>
      <x:c r="J20" s="38" t="n">
        <x:v>-92.21140889</x:v>
      </x:c>
      <x:c r="K20" s="36" t="n">
        <x:v>1</x:v>
      </x:c>
      <x:c r="L20" t="str">
        <x:v>Chevrolet</x:v>
      </x:c>
      <x:c r="M20" t="str">
        <x:v>Chevrolet</x:v>
      </x:c>
      <x:c r="N20" t="str">
        <x:v>Pickup</x:v>
      </x:c>
      <x:c r="O20" t="str">
        <x:v>white</x:v>
      </x:c>
    </x:row>
    <x:row r="21">
      <x:c r="A21" s="36" t="n">
        <x:v>20</x:v>
      </x:c>
      <x:c r="B21" t="str">
        <x:v>Vehicle A</x:v>
      </x:c>
      <x:c r="C21" s="35" t="n">
        <x:v>46180.5</x:v>
      </x:c>
      <x:c r="D21" t="str">
        <x:v>10:25:28</x:v>
      </x:c>
      <x:c r="E21" t="str">
        <x:v>2026-06-07 10:25:28 CDT</x:v>
      </x:c>
      <x:c r="F21" t="str">
        <x:v>C06</x:v>
      </x:c>
      <x:c r="G21" t="str">
        <x:v>Brockington Rd northbound</x:v>
      </x:c>
      <x:c r="H21" t="str">
        <x:v>#02 Brockington Rd (Northbound)</x:v>
      </x:c>
      <x:c r="I21" s="38" t="n">
        <x:v>34.82933191</x:v>
      </x:c>
      <x:c r="J21" s="38" t="n">
        <x:v>-92.1910489</x:v>
      </x:c>
      <x:c r="K21" s="36" t="n">
        <x:v>1</x:v>
      </x:c>
      <x:c r="L21" t="str">
        <x:v>Chevrolet</x:v>
      </x:c>
      <x:c r="M21" t="str">
        <x:v>Chevrolet</x:v>
      </x:c>
      <x:c r="N21" t="str">
        <x:v>Pickup</x:v>
      </x:c>
      <x:c r="O21" t="str">
        <x:v>white</x:v>
      </x:c>
    </x:row>
    <x:row r="22">
      <x:c r="A22" s="36" t="n">
        <x:v>21</x:v>
      </x:c>
      <x:c r="B22" t="str">
        <x:v>Vehicle A</x:v>
      </x:c>
      <x:c r="C22" s="35" t="n">
        <x:v>46180.5</x:v>
      </x:c>
      <x:c r="D22" t="str">
        <x:v>11:59:03</x:v>
      </x:c>
      <x:c r="E22" t="str">
        <x:v>2026-06-07 11:59:03 CDT</x:v>
      </x:c>
      <x:c r="F22" t="str">
        <x:v>C05</x:v>
      </x:c>
      <x:c r="G22" t="str">
        <x:v>Hwy 107 southbound — North Hills</x:v>
      </x:c>
      <x:c r="H22" t="str">
        <x:v>#06 Hwy 107 Southbound Near Taco Bell at North Hills Blvd.</x:v>
      </x:c>
      <x:c r="I22" s="38" t="n">
        <x:v>34.82041424</x:v>
      </x:c>
      <x:c r="J22" s="38" t="n">
        <x:v>-92.2329764</x:v>
      </x:c>
      <x:c r="K22" s="36" t="n">
        <x:v>1</x:v>
      </x:c>
      <x:c r="L22" t="str">
        <x:v>Chevrolet</x:v>
      </x:c>
      <x:c r="M22" t="str">
        <x:v>Chevrolet</x:v>
      </x:c>
      <x:c r="N22" t="str">
        <x:v>Pickup</x:v>
      </x:c>
      <x:c r="O22" t="str">
        <x:v>white</x:v>
      </x:c>
    </x:row>
    <x:row r="23">
      <x:c r="A23" s="36" t="n">
        <x:v>22</x:v>
      </x:c>
      <x:c r="B23" t="str">
        <x:v>Vehicle A</x:v>
      </x:c>
      <x:c r="C23" s="35" t="n">
        <x:v>46180.5</x:v>
      </x:c>
      <x:c r="D23" t="str">
        <x:v>13:58:30</x:v>
      </x:c>
      <x:c r="E23" t="str">
        <x:v>2026-06-07 13:58:30 CDT</x:v>
      </x:c>
      <x:c r="F23" t="str">
        <x:v>C03</x:v>
      </x:c>
      <x:c r="G23" t="str">
        <x:v>Hwy 107 northbound — North Hills</x:v>
      </x:c>
      <x:c r="H23" t="str">
        <x:v>#05 Hwy 107 (Northbound) Greens at North Hills</x:v>
      </x:c>
      <x:c r="I23" s="38" t="n">
        <x:v>34.8217311</x:v>
      </x:c>
      <x:c r="J23" s="38" t="n">
        <x:v>-92.2313695</x:v>
      </x:c>
      <x:c r="K23" s="36" t="n">
        <x:v>1</x:v>
      </x:c>
      <x:c r="L23" t="str">
        <x:v>Chevrolet</x:v>
      </x:c>
      <x:c r="M23" t="str">
        <x:v>Chevrolet</x:v>
      </x:c>
      <x:c r="N23" t="str">
        <x:v>Pickup</x:v>
      </x:c>
      <x:c r="O23" t="str">
        <x:v>white</x:v>
      </x:c>
    </x:row>
    <x:row r="24">
      <x:c r="A24" s="36" t="n">
        <x:v>23</x:v>
      </x:c>
      <x:c r="B24" t="str">
        <x:v>Vehicle A</x:v>
      </x:c>
      <x:c r="C24" s="35" t="n">
        <x:v>46180.5</x:v>
      </x:c>
      <x:c r="D24" t="str">
        <x:v>14:04:38</x:v>
      </x:c>
      <x:c r="E24" t="str">
        <x:v>2026-06-07 14:04:38 CDT</x:v>
      </x:c>
      <x:c r="F24" t="str">
        <x:v>C04</x:v>
      </x:c>
      <x:c r="G24" t="str">
        <x:v>Kellogg Acres Rd northbound — city limits</x:v>
      </x:c>
      <x:c r="H24" t="str">
        <x:v>#04 Kellogg Acres Rd @ North City Limits NB</x:v>
      </x:c>
      <x:c r="I24" s="38" t="n">
        <x:v>34.87271694</x:v>
      </x:c>
      <x:c r="J24" s="38" t="n">
        <x:v>-92.22918117</x:v>
      </x:c>
      <x:c r="K24" s="36" t="n">
        <x:v>1</x:v>
      </x:c>
      <x:c r="L24" t="str">
        <x:v>Chevrolet</x:v>
      </x:c>
      <x:c r="M24" t="str">
        <x:v>Chevrolet</x:v>
      </x:c>
      <x:c r="N24" t="str">
        <x:v>Pickup</x:v>
      </x:c>
      <x:c r="O24" t="str">
        <x:v>white</x:v>
      </x:c>
    </x:row>
    <x:row r="25">
      <x:c r="A25" s="36" t="n">
        <x:v>24</x:v>
      </x:c>
      <x:c r="B25" t="str">
        <x:v>Vehicle A</x:v>
      </x:c>
      <x:c r="C25" s="35" t="n">
        <x:v>46181.5</x:v>
      </x:c>
      <x:c r="D25" t="str">
        <x:v>17:06:12</x:v>
      </x:c>
      <x:c r="E25" t="str">
        <x:v>2026-06-08 17:06:12 CDT</x:v>
      </x:c>
      <x:c r="F25" t="str">
        <x:v>C03</x:v>
      </x:c>
      <x:c r="G25" t="str">
        <x:v>Hwy 107 northbound — North Hills</x:v>
      </x:c>
      <x:c r="H25" t="str">
        <x:v>#05 Hwy 107 (Northbound) Greens at North Hills</x:v>
      </x:c>
      <x:c r="I25" s="38" t="n">
        <x:v>34.8217311</x:v>
      </x:c>
      <x:c r="J25" s="38" t="n">
        <x:v>-92.2313695</x:v>
      </x:c>
      <x:c r="K25" s="36" t="n">
        <x:v>1</x:v>
      </x:c>
      <x:c r="L25" t="str">
        <x:v>Chevrolet</x:v>
      </x:c>
      <x:c r="M25" t="str">
        <x:v>Chevrolet</x:v>
      </x:c>
      <x:c r="N25" t="str">
        <x:v>Pickup</x:v>
      </x:c>
      <x:c r="O25" t="str">
        <x:v>white</x:v>
      </x:c>
    </x:row>
    <x:row r="26">
      <x:c r="A26" s="36" t="n">
        <x:v>25</x:v>
      </x:c>
      <x:c r="B26" t="str">
        <x:v>Vehicle A</x:v>
      </x:c>
      <x:c r="C26" s="35" t="n">
        <x:v>46181.5</x:v>
      </x:c>
      <x:c r="D26" t="str">
        <x:v>17:14:16</x:v>
      </x:c>
      <x:c r="E26" t="str">
        <x:v>2026-06-08 17:14:16 CDT</x:v>
      </x:c>
      <x:c r="F26" t="str">
        <x:v>C04</x:v>
      </x:c>
      <x:c r="G26" t="str">
        <x:v>Kellogg Acres Rd northbound — city limits</x:v>
      </x:c>
      <x:c r="H26" t="str">
        <x:v>#04 Kellogg Acres Rd @ North City Limits NB</x:v>
      </x:c>
      <x:c r="I26" s="38" t="n">
        <x:v>34.87271694</x:v>
      </x:c>
      <x:c r="J26" s="38" t="n">
        <x:v>-92.22918117</x:v>
      </x:c>
      <x:c r="K26" s="36" t="n">
        <x:v>1</x:v>
      </x:c>
      <x:c r="L26" t="str">
        <x:v>Chevrolet</x:v>
      </x:c>
      <x:c r="M26" t="str">
        <x:v>Chevrolet</x:v>
      </x:c>
      <x:c r="N26" t="str">
        <x:v>Pickup</x:v>
      </x:c>
      <x:c r="O26" t="str">
        <x:v>white</x:v>
      </x:c>
    </x:row>
    <x:row r="27">
      <x:c r="A27" s="36" t="n">
        <x:v>26</x:v>
      </x:c>
      <x:c r="B27" t="str">
        <x:v>Vehicle A</x:v>
      </x:c>
      <x:c r="C27" s="35" t="n">
        <x:v>46184.5</x:v>
      </x:c>
      <x:c r="D27" t="str">
        <x:v>18:22:59</x:v>
      </x:c>
      <x:c r="E27" t="str">
        <x:v>2026-06-11 18:22:59 CDT</x:v>
      </x:c>
      <x:c r="F27" t="str">
        <x:v>C08</x:v>
      </x:c>
      <x:c r="G27" t="str">
        <x:v>Jacksonville Cutoff Rd westbound — city limits</x:v>
      </x:c>
      <x:c r="H27" t="str">
        <x:v>#07 Jacksonville Cutoff Rd @ East Bound City Limits WB</x:v>
      </x:c>
      <x:c r="I27" s="38" t="n">
        <x:v>34.86934534</x:v>
      </x:c>
      <x:c r="J27" s="38" t="n">
        <x:v>-92.17135008</x:v>
      </x:c>
      <x:c r="K27" s="36" t="n">
        <x:v>1</x:v>
      </x:c>
      <x:c r="L27" t="str">
        <x:v>Chevrolet</x:v>
      </x:c>
      <x:c r="M27" t="str">
        <x:v>Chevrolet</x:v>
      </x:c>
      <x:c r="N27" t="str">
        <x:v>Pickup</x:v>
      </x:c>
      <x:c r="O27" t="str">
        <x:v>white</x:v>
      </x:c>
    </x:row>
    <x:row r="28">
      <x:c r="A28" s="36" t="n">
        <x:v>27</x:v>
      </x:c>
      <x:c r="B28" t="str">
        <x:v>Vehicle A</x:v>
      </x:c>
      <x:c r="C28" s="35" t="n">
        <x:v>46186.5</x:v>
      </x:c>
      <x:c r="D28" t="str">
        <x:v>09:04:57</x:v>
      </x:c>
      <x:c r="E28" t="str">
        <x:v>2026-06-13 09:04:57 CDT</x:v>
      </x:c>
      <x:c r="F28" t="str">
        <x:v>C03</x:v>
      </x:c>
      <x:c r="G28" t="str">
        <x:v>Hwy 107 northbound — North Hills</x:v>
      </x:c>
      <x:c r="H28" t="str">
        <x:v>#05 Hwy 107 (Northbound) Greens at North Hills</x:v>
      </x:c>
      <x:c r="I28" s="38" t="n">
        <x:v>34.8217311</x:v>
      </x:c>
      <x:c r="J28" s="38" t="n">
        <x:v>-92.2313695</x:v>
      </x:c>
      <x:c r="K28" s="36" t="n">
        <x:v>1</x:v>
      </x:c>
      <x:c r="L28" t="str">
        <x:v>Chevrolet</x:v>
      </x:c>
      <x:c r="M28" t="str">
        <x:v>Chevrolet</x:v>
      </x:c>
      <x:c r="N28" t="str">
        <x:v>Pickup</x:v>
      </x:c>
      <x:c r="O28" t="str">
        <x:v>white</x:v>
      </x:c>
    </x:row>
    <x:row r="29">
      <x:c r="A29" s="36" t="n">
        <x:v>28</x:v>
      </x:c>
      <x:c r="B29" t="str">
        <x:v>Vehicle A</x:v>
      </x:c>
      <x:c r="C29" s="35" t="n">
        <x:v>46186.5</x:v>
      </x:c>
      <x:c r="D29" t="str">
        <x:v>09:24:23</x:v>
      </x:c>
      <x:c r="E29" t="str">
        <x:v>2026-06-13 09:24:23 CDT</x:v>
      </x:c>
      <x:c r="F29" t="str">
        <x:v>C04</x:v>
      </x:c>
      <x:c r="G29" t="str">
        <x:v>Kellogg Acres Rd northbound — city limits</x:v>
      </x:c>
      <x:c r="H29" t="str">
        <x:v>#04 Kellogg Acres Rd @ North City Limits NB</x:v>
      </x:c>
      <x:c r="I29" s="38" t="n">
        <x:v>34.87271694</x:v>
      </x:c>
      <x:c r="J29" s="38" t="n">
        <x:v>-92.22918117</x:v>
      </x:c>
      <x:c r="K29" s="36" t="n">
        <x:v>1</x:v>
      </x:c>
      <x:c r="L29" t="str">
        <x:v>Chevrolet</x:v>
      </x:c>
      <x:c r="M29" t="str">
        <x:v>Chevrolet</x:v>
      </x:c>
      <x:c r="N29" t="str">
        <x:v>Pickup</x:v>
      </x:c>
      <x:c r="O29" t="str">
        <x:v>white</x:v>
      </x:c>
    </x:row>
    <x:row r="30">
      <x:c r="A30" s="36" t="n">
        <x:v>29</x:v>
      </x:c>
      <x:c r="B30" t="str">
        <x:v>Vehicle A</x:v>
      </x:c>
      <x:c r="C30" s="35" t="n">
        <x:v>46186.5</x:v>
      </x:c>
      <x:c r="D30" t="str">
        <x:v>15:28:21</x:v>
      </x:c>
      <x:c r="E30" t="str">
        <x:v>2026-06-13 15:28:21 CDT</x:v>
      </x:c>
      <x:c r="F30" t="str">
        <x:v>C08</x:v>
      </x:c>
      <x:c r="G30" t="str">
        <x:v>Jacksonville Cutoff Rd westbound — city limits</x:v>
      </x:c>
      <x:c r="H30" t="str">
        <x:v>#07 Jacksonville Cutoff Rd @ East Bound City Limits WB</x:v>
      </x:c>
      <x:c r="I30" s="38" t="n">
        <x:v>34.86934534</x:v>
      </x:c>
      <x:c r="J30" s="38" t="n">
        <x:v>-92.17135008</x:v>
      </x:c>
      <x:c r="K30" s="36" t="n">
        <x:v>1</x:v>
      </x:c>
      <x:c r="L30" t="str">
        <x:v>Chevrolet</x:v>
      </x:c>
      <x:c r="M30" t="str">
        <x:v>Chevrolet</x:v>
      </x:c>
      <x:c r="N30" t="str">
        <x:v>Pickup</x:v>
      </x:c>
      <x:c r="O30" t="str">
        <x:v>white</x:v>
      </x:c>
    </x:row>
    <x:row r="31">
      <x:c r="A31" s="36" t="n">
        <x:v>30</x:v>
      </x:c>
      <x:c r="B31" t="str">
        <x:v>Vehicle A</x:v>
      </x:c>
      <x:c r="C31" s="35" t="n">
        <x:v>46186.5</x:v>
      </x:c>
      <x:c r="D31" t="str">
        <x:v>16:40:14</x:v>
      </x:c>
      <x:c r="E31" t="str">
        <x:v>2026-06-13 16:40:14 CDT</x:v>
      </x:c>
      <x:c r="F31" t="str">
        <x:v>C03</x:v>
      </x:c>
      <x:c r="G31" t="str">
        <x:v>Hwy 107 northbound — North Hills</x:v>
      </x:c>
      <x:c r="H31" t="str">
        <x:v>#05 Hwy 107 (Northbound) Greens at North Hills</x:v>
      </x:c>
      <x:c r="I31" s="38" t="n">
        <x:v>34.8217311</x:v>
      </x:c>
      <x:c r="J31" s="38" t="n">
        <x:v>-92.2313695</x:v>
      </x:c>
      <x:c r="K31" s="36" t="n">
        <x:v>1</x:v>
      </x:c>
      <x:c r="L31" t="str">
        <x:v>GMC</x:v>
      </x:c>
      <x:c r="M31" t="str">
        <x:v>GMC</x:v>
      </x:c>
      <x:c r="N31" t="str">
        <x:v>Pickup</x:v>
      </x:c>
      <x:c r="O31" t="str">
        <x:v>white</x:v>
      </x:c>
    </x:row>
    <x:row r="32">
      <x:c r="A32" s="36" t="n">
        <x:v>31</x:v>
      </x:c>
      <x:c r="B32" t="str">
        <x:v>Vehicle A</x:v>
      </x:c>
      <x:c r="C32" s="35" t="n">
        <x:v>46186.5</x:v>
      </x:c>
      <x:c r="D32" t="str">
        <x:v>16:46:54</x:v>
      </x:c>
      <x:c r="E32" t="str">
        <x:v>2026-06-13 16:46:54 CDT</x:v>
      </x:c>
      <x:c r="F32" t="str">
        <x:v>C04</x:v>
      </x:c>
      <x:c r="G32" t="str">
        <x:v>Kellogg Acres Rd northbound — city limits</x:v>
      </x:c>
      <x:c r="H32" t="str">
        <x:v>#04 Kellogg Acres Rd @ North City Limits NB</x:v>
      </x:c>
      <x:c r="I32" s="38" t="n">
        <x:v>34.87271694</x:v>
      </x:c>
      <x:c r="J32" s="38" t="n">
        <x:v>-92.22918117</x:v>
      </x:c>
      <x:c r="K32" s="36" t="n">
        <x:v>1</x:v>
      </x:c>
      <x:c r="L32" t="str">
        <x:v>Chevrolet</x:v>
      </x:c>
      <x:c r="M32" t="str">
        <x:v>Chevrolet</x:v>
      </x:c>
      <x:c r="N32" t="str">
        <x:v>Pickup</x:v>
      </x:c>
      <x:c r="O32" t="str">
        <x:v>white</x:v>
      </x:c>
    </x:row>
    <x:row r="33">
      <x:c r="A33" s="36" t="n">
        <x:v>32</x:v>
      </x:c>
      <x:c r="B33" t="str">
        <x:v>Vehicle A</x:v>
      </x:c>
      <x:c r="C33" s="35" t="n">
        <x:v>46187.5</x:v>
      </x:c>
      <x:c r="D33" t="str">
        <x:v>10:40:43</x:v>
      </x:c>
      <x:c r="E33" t="str">
        <x:v>2026-06-14 10:40:43 CDT</x:v>
      </x:c>
      <x:c r="F33" t="str">
        <x:v>C01</x:v>
      </x:c>
      <x:c r="G33" t="str">
        <x:v>Brockington Rd southbound</x:v>
      </x:c>
      <x:c r="H33" t="str">
        <x:v>#01 Brockington Rd (Southbound)</x:v>
      </x:c>
      <x:c r="I33" s="38" t="n">
        <x:v>34.82712949</x:v>
      </x:c>
      <x:c r="J33" s="38" t="n">
        <x:v>-92.19130226</x:v>
      </x:c>
      <x:c r="K33" s="36" t="n">
        <x:v>1</x:v>
      </x:c>
      <x:c r="L33" t="str">
        <x:v>Chevrolet</x:v>
      </x:c>
      <x:c r="M33" t="str">
        <x:v>Chevrolet</x:v>
      </x:c>
      <x:c r="N33" t="str">
        <x:v>Pickup</x:v>
      </x:c>
      <x:c r="O33" t="str">
        <x:v>white</x:v>
      </x:c>
    </x:row>
    <x:row r="34">
      <x:c r="A34" s="36" t="n">
        <x:v>33</x:v>
      </x:c>
      <x:c r="B34" t="str">
        <x:v>Vehicle A</x:v>
      </x:c>
      <x:c r="C34" s="35" t="n">
        <x:v>46187.5</x:v>
      </x:c>
      <x:c r="D34" t="str">
        <x:v>11:23:18</x:v>
      </x:c>
      <x:c r="E34" t="str">
        <x:v>2026-06-14 11:23:18 CDT</x:v>
      </x:c>
      <x:c r="F34" t="str">
        <x:v>C06</x:v>
      </x:c>
      <x:c r="G34" t="str">
        <x:v>Brockington Rd northbound</x:v>
      </x:c>
      <x:c r="H34" t="str">
        <x:v>#02 Brockington Rd (Northbound)</x:v>
      </x:c>
      <x:c r="I34" s="38" t="n">
        <x:v>34.82933191</x:v>
      </x:c>
      <x:c r="J34" s="38" t="n">
        <x:v>-92.1910489</x:v>
      </x:c>
      <x:c r="K34" s="36" t="n">
        <x:v>1</x:v>
      </x:c>
      <x:c r="L34" t="str">
        <x:v>Chevrolet</x:v>
      </x:c>
      <x:c r="M34" t="str">
        <x:v>Chevrolet</x:v>
      </x:c>
      <x:c r="N34" t="str">
        <x:v>Pickup</x:v>
      </x:c>
      <x:c r="O34" t="str">
        <x:v>white</x:v>
      </x:c>
    </x:row>
    <x:row r="35">
      <x:c r="A35" s="36" t="n">
        <x:v>34</x:v>
      </x:c>
      <x:c r="B35" t="str">
        <x:v>Vehicle A</x:v>
      </x:c>
      <x:c r="C35" s="35" t="n">
        <x:v>46187.5</x:v>
      </x:c>
      <x:c r="D35" t="str">
        <x:v>11:31:09</x:v>
      </x:c>
      <x:c r="E35" t="str">
        <x:v>2026-06-14 11:31:09 CDT</x:v>
      </x:c>
      <x:c r="F35" t="str">
        <x:v>C04</x:v>
      </x:c>
      <x:c r="G35" t="str">
        <x:v>Kellogg Acres Rd northbound — city limits</x:v>
      </x:c>
      <x:c r="H35" t="str">
        <x:v>#04 Kellogg Acres Rd @ North City Limits NB</x:v>
      </x:c>
      <x:c r="I35" s="38" t="n">
        <x:v>34.87271694</x:v>
      </x:c>
      <x:c r="J35" s="38" t="n">
        <x:v>-92.22918117</x:v>
      </x:c>
      <x:c r="K35" s="36" t="n">
        <x:v>1</x:v>
      </x:c>
      <x:c r="L35" t="str">
        <x:v>Chevrolet</x:v>
      </x:c>
      <x:c r="M35" t="str">
        <x:v>Chevrolet</x:v>
      </x:c>
      <x:c r="N35" t="str">
        <x:v>Pickup</x:v>
      </x:c>
      <x:c r="O35" t="str">
        <x:v>white</x:v>
      </x:c>
    </x:row>
    <x:row r="36">
      <x:c r="A36" s="36" t="n">
        <x:v>35</x:v>
      </x:c>
      <x:c r="B36" t="str">
        <x:v>Vehicle A</x:v>
      </x:c>
      <x:c r="C36" s="35" t="n">
        <x:v>46187.5</x:v>
      </x:c>
      <x:c r="D36" t="str">
        <x:v>14:17:59</x:v>
      </x:c>
      <x:c r="E36" t="str">
        <x:v>2026-06-14 14:17:59 CDT</x:v>
      </x:c>
      <x:c r="F36" t="str">
        <x:v>C05</x:v>
      </x:c>
      <x:c r="G36" t="str">
        <x:v>Hwy 107 southbound — North Hills</x:v>
      </x:c>
      <x:c r="H36" t="str">
        <x:v>#06 Hwy 107 Southbound Near Taco Bell at North Hills Blvd.</x:v>
      </x:c>
      <x:c r="I36" s="38" t="n">
        <x:v>34.82041424</x:v>
      </x:c>
      <x:c r="J36" s="38" t="n">
        <x:v>-92.2329764</x:v>
      </x:c>
      <x:c r="K36" s="36" t="n">
        <x:v>1</x:v>
      </x:c>
      <x:c r="L36" t="str">
        <x:v>Chevrolet</x:v>
      </x:c>
      <x:c r="M36" t="str">
        <x:v>Chevrolet</x:v>
      </x:c>
      <x:c r="N36" t="str">
        <x:v>Pickup</x:v>
      </x:c>
      <x:c r="O36" t="str">
        <x:v>white</x:v>
      </x:c>
    </x:row>
    <x:row r="37">
      <x:c r="A37" s="36" t="n">
        <x:v>36</x:v>
      </x:c>
      <x:c r="B37" t="str">
        <x:v>Vehicle A</x:v>
      </x:c>
      <x:c r="C37" s="35" t="n">
        <x:v>46187.5</x:v>
      </x:c>
      <x:c r="D37" t="str">
        <x:v>15:47:58</x:v>
      </x:c>
      <x:c r="E37" t="str">
        <x:v>2026-06-14 15:47:58 CDT</x:v>
      </x:c>
      <x:c r="F37" t="str">
        <x:v>C03</x:v>
      </x:c>
      <x:c r="G37" t="str">
        <x:v>Hwy 107 northbound — North Hills</x:v>
      </x:c>
      <x:c r="H37" t="str">
        <x:v>#05 Hwy 107 (Northbound) Greens at North Hills</x:v>
      </x:c>
      <x:c r="I37" s="38" t="n">
        <x:v>34.8217311</x:v>
      </x:c>
      <x:c r="J37" s="38" t="n">
        <x:v>-92.2313695</x:v>
      </x:c>
      <x:c r="K37" s="36" t="n">
        <x:v>1</x:v>
      </x:c>
      <x:c r="L37" t="str">
        <x:v>Chevrolet</x:v>
      </x:c>
      <x:c r="M37" t="str">
        <x:v>Chevrolet</x:v>
      </x:c>
      <x:c r="N37" t="str">
        <x:v>Pickup</x:v>
      </x:c>
      <x:c r="O37" t="str">
        <x:v>white</x:v>
      </x:c>
    </x:row>
    <x:row r="38">
      <x:c r="A38" s="36" t="n">
        <x:v>37</x:v>
      </x:c>
      <x:c r="B38" t="str">
        <x:v>Vehicle A</x:v>
      </x:c>
      <x:c r="C38" s="35" t="n">
        <x:v>46187.5</x:v>
      </x:c>
      <x:c r="D38" t="str">
        <x:v>15:55:24</x:v>
      </x:c>
      <x:c r="E38" t="str">
        <x:v>2026-06-14 15:55:24 CDT</x:v>
      </x:c>
      <x:c r="F38" t="str">
        <x:v>C04</x:v>
      </x:c>
      <x:c r="G38" t="str">
        <x:v>Kellogg Acres Rd northbound — city limits</x:v>
      </x:c>
      <x:c r="H38" t="str">
        <x:v>#04 Kellogg Acres Rd @ North City Limits NB</x:v>
      </x:c>
      <x:c r="I38" s="38" t="n">
        <x:v>34.87271694</x:v>
      </x:c>
      <x:c r="J38" s="38" t="n">
        <x:v>-92.22918117</x:v>
      </x:c>
      <x:c r="K38" s="36" t="n">
        <x:v>1</x:v>
      </x:c>
      <x:c r="L38" t="str">
        <x:v>Chevrolet</x:v>
      </x:c>
      <x:c r="M38" t="str">
        <x:v>Chevrolet</x:v>
      </x:c>
      <x:c r="N38" t="str">
        <x:v>Pickup</x:v>
      </x:c>
      <x:c r="O38" t="str">
        <x:v>white</x:v>
      </x:c>
    </x:row>
    <x:row r="39">
      <x:c r="A39" s="36" t="n">
        <x:v>38</x:v>
      </x:c>
      <x:c r="B39" t="str">
        <x:v>Vehicle A</x:v>
      </x:c>
      <x:c r="C39" s="35" t="n">
        <x:v>46189.5</x:v>
      </x:c>
      <x:c r="D39" t="str">
        <x:v>15:28:47</x:v>
      </x:c>
      <x:c r="E39" t="str">
        <x:v>2026-06-16 15:28:47 CDT</x:v>
      </x:c>
      <x:c r="F39" t="str">
        <x:v>C03</x:v>
      </x:c>
      <x:c r="G39" t="str">
        <x:v>Hwy 107 northbound — North Hills</x:v>
      </x:c>
      <x:c r="H39" t="str">
        <x:v>#05 Hwy 107 (Northbound) Greens at North Hills</x:v>
      </x:c>
      <x:c r="I39" s="38" t="n">
        <x:v>34.8217311</x:v>
      </x:c>
      <x:c r="J39" s="38" t="n">
        <x:v>-92.2313695</x:v>
      </x:c>
      <x:c r="K39" s="36" t="n">
        <x:v>1</x:v>
      </x:c>
      <x:c r="L39" t="str">
        <x:v>Chevrolet</x:v>
      </x:c>
      <x:c r="M39" t="str">
        <x:v>Chevrolet</x:v>
      </x:c>
      <x:c r="N39" t="str">
        <x:v>Pickup</x:v>
      </x:c>
      <x:c r="O39" t="str">
        <x:v>white</x:v>
      </x:c>
    </x:row>
    <x:row r="40">
      <x:c r="A40" s="36" t="n">
        <x:v>39</x:v>
      </x:c>
      <x:c r="B40" t="str">
        <x:v>Vehicle A</x:v>
      </x:c>
      <x:c r="C40" s="35" t="n">
        <x:v>46189.5</x:v>
      </x:c>
      <x:c r="D40" t="str">
        <x:v>15:35:21</x:v>
      </x:c>
      <x:c r="E40" t="str">
        <x:v>2026-06-16 15:35:21 CDT</x:v>
      </x:c>
      <x:c r="F40" t="str">
        <x:v>C04</x:v>
      </x:c>
      <x:c r="G40" t="str">
        <x:v>Kellogg Acres Rd northbound — city limits</x:v>
      </x:c>
      <x:c r="H40" t="str">
        <x:v>#04 Kellogg Acres Rd @ North City Limits NB</x:v>
      </x:c>
      <x:c r="I40" s="38" t="n">
        <x:v>34.87271694</x:v>
      </x:c>
      <x:c r="J40" s="38" t="n">
        <x:v>-92.22918117</x:v>
      </x:c>
      <x:c r="K40" s="36" t="n">
        <x:v>1</x:v>
      </x:c>
      <x:c r="L40" t="str">
        <x:v>Chevrolet</x:v>
      </x:c>
      <x:c r="M40" t="str">
        <x:v>Chevrolet</x:v>
      </x:c>
      <x:c r="N40" t="str">
        <x:v>Pickup</x:v>
      </x:c>
      <x:c r="O40" t="str">
        <x:v>white</x:v>
      </x:c>
    </x:row>
    <x:row r="41">
      <x:c r="A41" s="36" t="n">
        <x:v>40</x:v>
      </x:c>
      <x:c r="B41" t="str">
        <x:v>Vehicle A</x:v>
      </x:c>
      <x:c r="C41" s="35" t="n">
        <x:v>46191.5</x:v>
      </x:c>
      <x:c r="D41" t="str">
        <x:v>17:08:50</x:v>
      </x:c>
      <x:c r="E41" t="str">
        <x:v>2026-06-18 17:08:50 CDT</x:v>
      </x:c>
      <x:c r="F41" t="str">
        <x:v>C03</x:v>
      </x:c>
      <x:c r="G41" t="str">
        <x:v>Hwy 107 northbound — North Hills</x:v>
      </x:c>
      <x:c r="H41" t="str">
        <x:v>#05 Hwy 107 (Northbound) Greens at North Hills</x:v>
      </x:c>
      <x:c r="I41" s="38" t="n">
        <x:v>34.8217311</x:v>
      </x:c>
      <x:c r="J41" s="38" t="n">
        <x:v>-92.2313695</x:v>
      </x:c>
      <x:c r="K41" s="36" t="n">
        <x:v>1</x:v>
      </x:c>
      <x:c r="L41" t="str">
        <x:v>Chevrolet</x:v>
      </x:c>
      <x:c r="M41" t="str">
        <x:v>Chevrolet</x:v>
      </x:c>
      <x:c r="N41" t="str">
        <x:v>Pickup</x:v>
      </x:c>
      <x:c r="O41" t="str">
        <x:v>white</x:v>
      </x:c>
    </x:row>
    <x:row r="42">
      <x:c r="A42" s="36" t="n">
        <x:v>41</x:v>
      </x:c>
      <x:c r="B42" t="str">
        <x:v>Vehicle A</x:v>
      </x:c>
      <x:c r="C42" s="35" t="n">
        <x:v>46191.5</x:v>
      </x:c>
      <x:c r="D42" t="str">
        <x:v>17:20:58</x:v>
      </x:c>
      <x:c r="E42" t="str">
        <x:v>2026-06-18 17:20:58 CDT</x:v>
      </x:c>
      <x:c r="F42" t="str">
        <x:v>C04</x:v>
      </x:c>
      <x:c r="G42" t="str">
        <x:v>Kellogg Acres Rd northbound — city limits</x:v>
      </x:c>
      <x:c r="H42" t="str">
        <x:v>#04 Kellogg Acres Rd @ North City Limits NB</x:v>
      </x:c>
      <x:c r="I42" s="38" t="n">
        <x:v>34.87271694</x:v>
      </x:c>
      <x:c r="J42" s="38" t="n">
        <x:v>-92.22918117</x:v>
      </x:c>
      <x:c r="K42" s="36" t="n">
        <x:v>1</x:v>
      </x:c>
      <x:c r="L42" t="str">
        <x:v>Chevrolet</x:v>
      </x:c>
      <x:c r="M42" t="str">
        <x:v>Chevrolet</x:v>
      </x:c>
      <x:c r="N42" t="str">
        <x:v>Pickup</x:v>
      </x:c>
      <x:c r="O42" t="str">
        <x:v>white</x:v>
      </x:c>
    </x:row>
    <x:row r="43">
      <x:c r="A43" s="36" t="n">
        <x:v>42</x:v>
      </x:c>
      <x:c r="B43" t="str">
        <x:v>Vehicle A</x:v>
      </x:c>
      <x:c r="C43" s="35" t="n">
        <x:v>46191.5</x:v>
      </x:c>
      <x:c r="D43" t="str">
        <x:v>18:00:10</x:v>
      </x:c>
      <x:c r="E43" t="str">
        <x:v>2026-06-18 18:00:10 CDT</x:v>
      </x:c>
      <x:c r="F43" t="str">
        <x:v>C09</x:v>
      </x:c>
      <x:c r="G43" t="str">
        <x:v>Jacksonville Cutoff Rd eastbound — Old West Main</x:v>
      </x:c>
      <x:c r="H43" t="str">
        <x:v>#06 Jacksonville Cutoff Rd @ Old West Main EB</x:v>
      </x:c>
      <x:c r="I43" s="38" t="n">
        <x:v>34.86822463</x:v>
      </x:c>
      <x:c r="J43" s="38" t="n">
        <x:v>-92.17250685</x:v>
      </x:c>
      <x:c r="K43" s="36" t="n">
        <x:v>1</x:v>
      </x:c>
      <x:c r="L43" t="str">
        <x:v>Chevrolet</x:v>
      </x:c>
      <x:c r="M43" t="str">
        <x:v>Chevrolet</x:v>
      </x:c>
      <x:c r="N43" t="str">
        <x:v>Pickup</x:v>
      </x:c>
      <x:c r="O43" t="str">
        <x:v>white</x:v>
      </x:c>
    </x:row>
    <x:row r="44">
      <x:c r="A44" s="36" t="n">
        <x:v>43</x:v>
      </x:c>
      <x:c r="B44" t="str">
        <x:v>Vehicle A</x:v>
      </x:c>
      <x:c r="C44" s="35" t="n">
        <x:v>46191.5</x:v>
      </x:c>
      <x:c r="D44" t="str">
        <x:v>19:03:00</x:v>
      </x:c>
      <x:c r="E44" t="str">
        <x:v>2026-06-18 19:03:00 CDT</x:v>
      </x:c>
      <x:c r="F44" t="str">
        <x:v>C08</x:v>
      </x:c>
      <x:c r="G44" t="str">
        <x:v>Jacksonville Cutoff Rd westbound — city limits</x:v>
      </x:c>
      <x:c r="H44" t="str">
        <x:v>#07 Jacksonville Cutoff Rd @ East Bound City Limits WB</x:v>
      </x:c>
      <x:c r="I44" s="38" t="n">
        <x:v>34.86934534</x:v>
      </x:c>
      <x:c r="J44" s="38" t="n">
        <x:v>-92.17135008</x:v>
      </x:c>
      <x:c r="K44" s="36" t="n">
        <x:v>1</x:v>
      </x:c>
      <x:c r="L44" t="str">
        <x:v>Chevrolet</x:v>
      </x:c>
      <x:c r="M44" t="str">
        <x:v>Chevrolet</x:v>
      </x:c>
      <x:c r="N44" t="str">
        <x:v>Pickup</x:v>
      </x:c>
      <x:c r="O44" t="str">
        <x:v>white</x:v>
      </x:c>
    </x:row>
    <x:row r="45">
      <x:c r="A45" s="36" t="n">
        <x:v>44</x:v>
      </x:c>
      <x:c r="B45" t="str">
        <x:v>Vehicle A</x:v>
      </x:c>
      <x:c r="C45" s="35" t="n">
        <x:v>46192.5</x:v>
      </x:c>
      <x:c r="D45" t="str">
        <x:v>10:40:04</x:v>
      </x:c>
      <x:c r="E45" t="str">
        <x:v>2026-06-19 10:40:04 CDT</x:v>
      </x:c>
      <x:c r="F45" t="str">
        <x:v>C07</x:v>
      </x:c>
      <x:c r="G45" t="str">
        <x:v>Landers Rd northbound</x:v>
      </x:c>
      <x:c r="H45" t="str">
        <x:v>#09 Landers Rd @ Tractor Supply NB</x:v>
      </x:c>
      <x:c r="I45" s="38" t="n">
        <x:v>34.80420882</x:v>
      </x:c>
      <x:c r="J45" s="38" t="n">
        <x:v>-92.21140889</x:v>
      </x:c>
      <x:c r="K45" s="36" t="n">
        <x:v>1</x:v>
      </x:c>
      <x:c r="L45" t="str">
        <x:v>Chevrolet</x:v>
      </x:c>
      <x:c r="M45" t="str">
        <x:v>Chevrolet</x:v>
      </x:c>
      <x:c r="N45" t="str">
        <x:v>Pickup</x:v>
      </x:c>
      <x:c r="O45" t="str">
        <x:v>white</x:v>
      </x:c>
    </x:row>
    <x:row r="46">
      <x:c r="A46" s="36" t="n">
        <x:v>45</x:v>
      </x:c>
      <x:c r="B46" t="str">
        <x:v>Vehicle A</x:v>
      </x:c>
      <x:c r="C46" s="35" t="n">
        <x:v>46192.5</x:v>
      </x:c>
      <x:c r="D46" t="str">
        <x:v>11:18:19</x:v>
      </x:c>
      <x:c r="E46" t="str">
        <x:v>2026-06-19 11:18:19 CDT</x:v>
      </x:c>
      <x:c r="F46" t="str">
        <x:v>C10</x:v>
      </x:c>
      <x:c r="G46" t="str">
        <x:v>Wildwood Ave westbound — Heritage Dr</x:v>
      </x:c>
      <x:c r="H46" t="str">
        <x:v>#10 Wildwood Ave @ Heritage Dr WB</x:v>
      </x:c>
      <x:c r="I46" s="38" t="n">
        <x:v>34.81442518</x:v>
      </x:c>
      <x:c r="J46" s="38" t="n">
        <x:v>-92.20538867</x:v>
      </x:c>
      <x:c r="K46" s="36" t="n">
        <x:v>1</x:v>
      </x:c>
      <x:c r="L46" t="str">
        <x:v>Chevrolet</x:v>
      </x:c>
      <x:c r="M46" t="str">
        <x:v>Chevrolet</x:v>
      </x:c>
      <x:c r="N46" t="str">
        <x:v>Pickup</x:v>
      </x:c>
      <x:c r="O46" t="str">
        <x:v>white</x:v>
      </x:c>
    </x:row>
    <x:row r="47">
      <x:c r="A47" s="36" t="n">
        <x:v>46</x:v>
      </x:c>
      <x:c r="B47" t="str">
        <x:v>Vehicle A</x:v>
      </x:c>
      <x:c r="C47" s="35" t="n">
        <x:v>46192.5</x:v>
      </x:c>
      <x:c r="D47" t="str">
        <x:v>11:31:59</x:v>
      </x:c>
      <x:c r="E47" t="str">
        <x:v>2026-06-19 11:31:59 CDT</x:v>
      </x:c>
      <x:c r="F47" t="str">
        <x:v>C02</x:v>
      </x:c>
      <x:c r="G47" t="str">
        <x:v>Warden Rd southbound</x:v>
      </x:c>
      <x:c r="H47" t="str">
        <x:v>#02 Warden Rd @ Saltgrass Steakhouse SB</x:v>
      </x:c>
      <x:c r="I47" s="38" t="n">
        <x:v>34.81258891</x:v>
      </x:c>
      <x:c r="J47" s="38" t="n">
        <x:v>-92.20502351</x:v>
      </x:c>
      <x:c r="K47" s="36" t="n">
        <x:v>1</x:v>
      </x:c>
      <x:c r="L47" t="str">
        <x:v>Chevrolet</x:v>
      </x:c>
      <x:c r="M47" t="str">
        <x:v>Chevrolet</x:v>
      </x:c>
      <x:c r="N47" t="str">
        <x:v>Pickup</x:v>
      </x:c>
      <x:c r="O47" t="str">
        <x:v>white</x:v>
      </x:c>
    </x:row>
    <x:row r="48">
      <x:c r="A48" s="36" t="n">
        <x:v>47</x:v>
      </x:c>
      <x:c r="B48" t="str">
        <x:v>Vehicle A</x:v>
      </x:c>
      <x:c r="C48" s="35" t="n">
        <x:v>46192.5</x:v>
      </x:c>
      <x:c r="D48" t="str">
        <x:v>13:11:50</x:v>
      </x:c>
      <x:c r="E48" t="str">
        <x:v>2026-06-19 13:11:50 CDT</x:v>
      </x:c>
      <x:c r="F48" t="str">
        <x:v>C03</x:v>
      </x:c>
      <x:c r="G48" t="str">
        <x:v>Hwy 107 northbound — North Hills</x:v>
      </x:c>
      <x:c r="H48" t="str">
        <x:v>#05 Hwy 107 (Northbound) Greens at North Hills</x:v>
      </x:c>
      <x:c r="I48" s="38" t="n">
        <x:v>34.8217311</x:v>
      </x:c>
      <x:c r="J48" s="38" t="n">
        <x:v>-92.2313695</x:v>
      </x:c>
      <x:c r="K48" s="36" t="n">
        <x:v>1</x:v>
      </x:c>
      <x:c r="L48" t="str">
        <x:v>Chevrolet</x:v>
      </x:c>
      <x:c r="M48" t="str">
        <x:v>Chevrolet</x:v>
      </x:c>
      <x:c r="N48" t="str">
        <x:v>Pickup</x:v>
      </x:c>
      <x:c r="O48" t="str">
        <x:v>white</x:v>
      </x:c>
    </x:row>
    <x:row r="49">
      <x:c r="A49" s="36" t="n">
        <x:v>48</x:v>
      </x:c>
      <x:c r="B49" t="str">
        <x:v>Vehicle A</x:v>
      </x:c>
      <x:c r="C49" s="35" t="n">
        <x:v>46192.5</x:v>
      </x:c>
      <x:c r="D49" t="str">
        <x:v>13:17:47</x:v>
      </x:c>
      <x:c r="E49" t="str">
        <x:v>2026-06-19 13:17:47 CDT</x:v>
      </x:c>
      <x:c r="F49" t="str">
        <x:v>C04</x:v>
      </x:c>
      <x:c r="G49" t="str">
        <x:v>Kellogg Acres Rd northbound — city limits</x:v>
      </x:c>
      <x:c r="H49" t="str">
        <x:v>#04 Kellogg Acres Rd @ North City Limits NB</x:v>
      </x:c>
      <x:c r="I49" s="38" t="n">
        <x:v>34.87271694</x:v>
      </x:c>
      <x:c r="J49" s="38" t="n">
        <x:v>-92.22918117</x:v>
      </x:c>
      <x:c r="K49" s="36" t="n">
        <x:v>1</x:v>
      </x:c>
      <x:c r="L49" t="str">
        <x:v>Chevrolet</x:v>
      </x:c>
      <x:c r="M49" t="str">
        <x:v>Chevrolet</x:v>
      </x:c>
      <x:c r="N49" t="str">
        <x:v>Pickup</x:v>
      </x:c>
      <x:c r="O49" t="str">
        <x:v>white</x:v>
      </x:c>
    </x:row>
    <x:row r="50">
      <x:c r="A50" s="36" t="n">
        <x:v>49</x:v>
      </x:c>
      <x:c r="B50" t="str">
        <x:v>Vehicle A</x:v>
      </x:c>
      <x:c r="C50" s="35" t="n">
        <x:v>46192.5</x:v>
      </x:c>
      <x:c r="D50" t="str">
        <x:v>17:27:18</x:v>
      </x:c>
      <x:c r="E50" t="str">
        <x:v>2026-06-19 17:27:18 CDT</x:v>
      </x:c>
      <x:c r="F50" t="str">
        <x:v>C03</x:v>
      </x:c>
      <x:c r="G50" t="str">
        <x:v>Hwy 107 northbound — North Hills</x:v>
      </x:c>
      <x:c r="H50" t="str">
        <x:v>#05 Hwy 107 (Northbound) Greens at North Hills</x:v>
      </x:c>
      <x:c r="I50" s="38" t="n">
        <x:v>34.8217311</x:v>
      </x:c>
      <x:c r="J50" s="38" t="n">
        <x:v>-92.2313695</x:v>
      </x:c>
      <x:c r="K50" s="36" t="n">
        <x:v>1</x:v>
      </x:c>
      <x:c r="L50" t="str">
        <x:v>Chevrolet</x:v>
      </x:c>
      <x:c r="M50" t="str">
        <x:v>Chevrolet</x:v>
      </x:c>
      <x:c r="N50" t="str">
        <x:v>Pickup</x:v>
      </x:c>
      <x:c r="O50" t="str">
        <x:v>white</x:v>
      </x:c>
    </x:row>
    <x:row r="51">
      <x:c r="A51" s="36" t="n">
        <x:v>50</x:v>
      </x:c>
      <x:c r="B51" t="str">
        <x:v>Vehicle A</x:v>
      </x:c>
      <x:c r="C51" s="35" t="n">
        <x:v>46192.5</x:v>
      </x:c>
      <x:c r="D51" t="str">
        <x:v>17:34:45</x:v>
      </x:c>
      <x:c r="E51" t="str">
        <x:v>2026-06-19 17:34:45 CDT</x:v>
      </x:c>
      <x:c r="F51" t="str">
        <x:v>C04</x:v>
      </x:c>
      <x:c r="G51" t="str">
        <x:v>Kellogg Acres Rd northbound — city limits</x:v>
      </x:c>
      <x:c r="H51" t="str">
        <x:v>#04 Kellogg Acres Rd @ North City Limits NB</x:v>
      </x:c>
      <x:c r="I51" s="38" t="n">
        <x:v>34.87271694</x:v>
      </x:c>
      <x:c r="J51" s="38" t="n">
        <x:v>-92.22918117</x:v>
      </x:c>
      <x:c r="K51" s="36" t="n">
        <x:v>1</x:v>
      </x:c>
      <x:c r="L51" t="str">
        <x:v>Chevrolet</x:v>
      </x:c>
      <x:c r="M51" t="str">
        <x:v>Chevrolet</x:v>
      </x:c>
      <x:c r="N51" t="str">
        <x:v>Pickup</x:v>
      </x:c>
      <x:c r="O51" t="str">
        <x:v>white</x:v>
      </x:c>
    </x:row>
    <x:row r="52">
      <x:c r="A52" s="36" t="n">
        <x:v>51</x:v>
      </x:c>
      <x:c r="B52" t="str">
        <x:v>Vehicle A</x:v>
      </x:c>
      <x:c r="C52" s="35" t="n">
        <x:v>46193.5</x:v>
      </x:c>
      <x:c r="D52" t="str">
        <x:v>08:55:10</x:v>
      </x:c>
      <x:c r="E52" t="str">
        <x:v>2026-06-20 08:55:10 CDT</x:v>
      </x:c>
      <x:c r="F52" t="str">
        <x:v>C11</x:v>
      </x:c>
      <x:c r="G52" t="str">
        <x:v>West Maryland Ave westbound</x:v>
      </x:c>
      <x:c r="H52" t="str">
        <x:v>#05 West Maryland Ave (Westbound)</x:v>
      </x:c>
      <x:c r="I52" s="38" t="n">
        <x:v>34.84075957</x:v>
      </x:c>
      <x:c r="J52" s="38" t="n">
        <x:v>-92.24330977</x:v>
      </x:c>
      <x:c r="K52" s="36" t="n">
        <x:v>1</x:v>
      </x:c>
      <x:c r="L52" t="str">
        <x:v>Chevrolet</x:v>
      </x:c>
      <x:c r="M52" t="str">
        <x:v>Chevrolet</x:v>
      </x:c>
      <x:c r="N52" t="str">
        <x:v>Pickup</x:v>
      </x:c>
      <x:c r="O52" t="str">
        <x:v>white</x:v>
      </x:c>
    </x:row>
    <x:row r="53">
      <x:c r="A53" s="36" t="n">
        <x:v>52</x:v>
      </x:c>
      <x:c r="B53" t="str">
        <x:v>Vehicle A</x:v>
      </x:c>
      <x:c r="C53" s="35" t="n">
        <x:v>46193.5</x:v>
      </x:c>
      <x:c r="D53" t="str">
        <x:v>17:26:11</x:v>
      </x:c>
      <x:c r="E53" t="str">
        <x:v>2026-06-20 17:26:11 CDT</x:v>
      </x:c>
      <x:c r="F53" t="str">
        <x:v>C03</x:v>
      </x:c>
      <x:c r="G53" t="str">
        <x:v>Hwy 107 northbound — North Hills</x:v>
      </x:c>
      <x:c r="H53" t="str">
        <x:v>#05 Hwy 107 (Northbound) Greens at North Hills</x:v>
      </x:c>
      <x:c r="I53" s="38" t="n">
        <x:v>34.8217311</x:v>
      </x:c>
      <x:c r="J53" s="38" t="n">
        <x:v>-92.2313695</x:v>
      </x:c>
      <x:c r="K53" s="36" t="n">
        <x:v>1</x:v>
      </x:c>
      <x:c r="L53" t="str">
        <x:v>Chevrolet</x:v>
      </x:c>
      <x:c r="M53" t="str">
        <x:v>Chevrolet</x:v>
      </x:c>
      <x:c r="N53" t="str">
        <x:v>Pickup</x:v>
      </x:c>
      <x:c r="O53" t="str">
        <x:v>white</x:v>
      </x:c>
    </x:row>
    <x:row r="54">
      <x:c r="A54" s="36" t="n">
        <x:v>53</x:v>
      </x:c>
      <x:c r="B54" t="str">
        <x:v>Vehicle A</x:v>
      </x:c>
      <x:c r="C54" s="35" t="n">
        <x:v>46193.5</x:v>
      </x:c>
      <x:c r="D54" t="str">
        <x:v>17:32:49</x:v>
      </x:c>
      <x:c r="E54" t="str">
        <x:v>2026-06-20 17:32:49 CDT</x:v>
      </x:c>
      <x:c r="F54" t="str">
        <x:v>C04</x:v>
      </x:c>
      <x:c r="G54" t="str">
        <x:v>Kellogg Acres Rd northbound — city limits</x:v>
      </x:c>
      <x:c r="H54" t="str">
        <x:v>#04 Kellogg Acres Rd @ North City Limits NB</x:v>
      </x:c>
      <x:c r="I54" s="38" t="n">
        <x:v>34.87271694</x:v>
      </x:c>
      <x:c r="J54" s="38" t="n">
        <x:v>-92.22918117</x:v>
      </x:c>
      <x:c r="K54" s="36" t="n">
        <x:v>1</x:v>
      </x:c>
      <x:c r="L54" t="str">
        <x:v>Chevrolet</x:v>
      </x:c>
      <x:c r="M54" t="str">
        <x:v>Chevrolet</x:v>
      </x:c>
      <x:c r="N54" t="str">
        <x:v>Pickup</x:v>
      </x:c>
      <x:c r="O54" t="str">
        <x:v>white</x:v>
      </x:c>
    </x:row>
    <x:row r="55">
      <x:c r="A55" s="36" t="n">
        <x:v>54</x:v>
      </x:c>
      <x:c r="B55" t="str">
        <x:v>Vehicle A</x:v>
      </x:c>
      <x:c r="C55" s="35" t="n">
        <x:v>46194.5</x:v>
      </x:c>
      <x:c r="D55" t="str">
        <x:v>11:55:00</x:v>
      </x:c>
      <x:c r="E55" t="str">
        <x:v>2026-06-21 11:55:00 CDT</x:v>
      </x:c>
      <x:c r="F55" t="str">
        <x:v>C12</x:v>
      </x:c>
      <x:c r="G55" t="str">
        <x:v>Hwy 107 southbound — General Samuels</x:v>
      </x:c>
      <x:c r="H55" t="str">
        <x:v>#07 Hwy 107 (Southbound) Near General Samuels</x:v>
      </x:c>
      <x:c r="I55" s="38" t="n">
        <x:v>34.88060988</x:v>
      </x:c>
      <x:c r="J55" s="38" t="n">
        <x:v>-92.18205206</x:v>
      </x:c>
      <x:c r="K55" s="36" t="n">
        <x:v>1</x:v>
      </x:c>
      <x:c r="L55" t="str">
        <x:v>Chevrolet</x:v>
      </x:c>
      <x:c r="M55" t="str">
        <x:v>Chevrolet</x:v>
      </x:c>
      <x:c r="N55" t="str">
        <x:v>Pickup</x:v>
      </x:c>
      <x:c r="O55" t="str">
        <x:v>white</x:v>
      </x:c>
    </x:row>
    <x:row r="56">
      <x:c r="A56" s="36" t="n">
        <x:v>55</x:v>
      </x:c>
      <x:c r="B56" t="str">
        <x:v>Vehicle A</x:v>
      </x:c>
      <x:c r="C56" s="35" t="n">
        <x:v>46194.5</x:v>
      </x:c>
      <x:c r="D56" t="str">
        <x:v>12:48:28</x:v>
      </x:c>
      <x:c r="E56" t="str">
        <x:v>2026-06-21 12:48:28 CDT</x:v>
      </x:c>
      <x:c r="F56" t="str">
        <x:v>C05</x:v>
      </x:c>
      <x:c r="G56" t="str">
        <x:v>Hwy 107 southbound — North Hills</x:v>
      </x:c>
      <x:c r="H56" t="str">
        <x:v>#06 Hwy 107 Southbound Near Taco Bell at North Hills Blvd.</x:v>
      </x:c>
      <x:c r="I56" s="38" t="n">
        <x:v>34.82041424</x:v>
      </x:c>
      <x:c r="J56" s="38" t="n">
        <x:v>-92.2329764</x:v>
      </x:c>
      <x:c r="K56" s="36" t="n">
        <x:v>1</x:v>
      </x:c>
      <x:c r="L56" t="str">
        <x:v>Chevrolet</x:v>
      </x:c>
      <x:c r="M56" t="str">
        <x:v>Chevrolet</x:v>
      </x:c>
      <x:c r="N56" t="str">
        <x:v>Pickup</x:v>
      </x:c>
      <x:c r="O56" t="str">
        <x:v>white</x:v>
      </x:c>
    </x:row>
    <x:row r="57">
      <x:c r="A57" s="36" t="n">
        <x:v>56</x:v>
      </x:c>
      <x:c r="B57" t="str">
        <x:v>Vehicle A</x:v>
      </x:c>
      <x:c r="C57" s="35" t="n">
        <x:v>46194.5</x:v>
      </x:c>
      <x:c r="D57" t="str">
        <x:v>15:01:23</x:v>
      </x:c>
      <x:c r="E57" t="str">
        <x:v>2026-06-21 15:01:23 CDT</x:v>
      </x:c>
      <x:c r="F57" t="str">
        <x:v>C03</x:v>
      </x:c>
      <x:c r="G57" t="str">
        <x:v>Hwy 107 northbound — North Hills</x:v>
      </x:c>
      <x:c r="H57" t="str">
        <x:v>#05 Hwy 107 (Northbound) Greens at North Hills</x:v>
      </x:c>
      <x:c r="I57" s="38" t="n">
        <x:v>34.8217311</x:v>
      </x:c>
      <x:c r="J57" s="38" t="n">
        <x:v>-92.2313695</x:v>
      </x:c>
      <x:c r="K57" s="36" t="n">
        <x:v>1</x:v>
      </x:c>
      <x:c r="L57" t="str">
        <x:v>Chevrolet</x:v>
      </x:c>
      <x:c r="M57" t="str">
        <x:v>Chevrolet</x:v>
      </x:c>
      <x:c r="N57" t="str">
        <x:v>Pickup</x:v>
      </x:c>
      <x:c r="O57" t="str">
        <x:v>white</x:v>
      </x:c>
    </x:row>
    <x:row r="58">
      <x:c r="A58" s="36" t="n">
        <x:v>57</x:v>
      </x:c>
      <x:c r="B58" t="str">
        <x:v>Vehicle A</x:v>
      </x:c>
      <x:c r="C58" s="35" t="n">
        <x:v>46194.5</x:v>
      </x:c>
      <x:c r="D58" t="str">
        <x:v>15:07:57</x:v>
      </x:c>
      <x:c r="E58" t="str">
        <x:v>2026-06-21 15:07:57 CDT</x:v>
      </x:c>
      <x:c r="F58" t="str">
        <x:v>C04</x:v>
      </x:c>
      <x:c r="G58" t="str">
        <x:v>Kellogg Acres Rd northbound — city limits</x:v>
      </x:c>
      <x:c r="H58" t="str">
        <x:v>#04 Kellogg Acres Rd @ North City Limits NB</x:v>
      </x:c>
      <x:c r="I58" s="38" t="n">
        <x:v>34.87271694</x:v>
      </x:c>
      <x:c r="J58" s="38" t="n">
        <x:v>-92.22918117</x:v>
      </x:c>
      <x:c r="K58" s="36" t="n">
        <x:v>1</x:v>
      </x:c>
      <x:c r="L58" t="str">
        <x:v>Chevrolet</x:v>
      </x:c>
      <x:c r="M58" t="str">
        <x:v>Chevrolet</x:v>
      </x:c>
      <x:c r="N58" t="str">
        <x:v>Pickup</x:v>
      </x:c>
      <x:c r="O58" t="str">
        <x:v>white</x:v>
      </x:c>
    </x:row>
    <x:row r="59">
      <x:c r="A59" s="36" t="n">
        <x:v>58</x:v>
      </x:c>
      <x:c r="B59" t="str">
        <x:v>Vehicle A</x:v>
      </x:c>
      <x:c r="C59" s="35" t="n">
        <x:v>46196.5</x:v>
      </x:c>
      <x:c r="D59" t="str">
        <x:v>08:54:10</x:v>
      </x:c>
      <x:c r="E59" t="str">
        <x:v>2026-06-23 08:54:10 CDT</x:v>
      </x:c>
      <x:c r="F59" t="str">
        <x:v>C04</x:v>
      </x:c>
      <x:c r="G59" t="str">
        <x:v>Kellogg Acres Rd northbound — city limits</x:v>
      </x:c>
      <x:c r="H59" t="str">
        <x:v>#04 Kellogg Acres Rd @ North City Limits NB</x:v>
      </x:c>
      <x:c r="I59" s="38" t="n">
        <x:v>34.87271694</x:v>
      </x:c>
      <x:c r="J59" s="38" t="n">
        <x:v>-92.22918117</x:v>
      </x:c>
      <x:c r="K59" s="36" t="n">
        <x:v>1</x:v>
      </x:c>
      <x:c r="L59" t="str">
        <x:v>Chevrolet</x:v>
      </x:c>
      <x:c r="M59" t="str">
        <x:v>Chevrolet</x:v>
      </x:c>
      <x:c r="N59" t="str">
        <x:v>Pickup</x:v>
      </x:c>
      <x:c r="O59" t="str">
        <x:v>white</x:v>
      </x:c>
    </x:row>
    <x:row r="60">
      <x:c r="A60" s="36" t="n">
        <x:v>59</x:v>
      </x:c>
      <x:c r="B60" t="str">
        <x:v>Vehicle A</x:v>
      </x:c>
      <x:c r="C60" s="35" t="n">
        <x:v>46196.5</x:v>
      </x:c>
      <x:c r="D60" t="str">
        <x:v>16:27:50</x:v>
      </x:c>
      <x:c r="E60" t="str">
        <x:v>2026-06-23 16:27:50 CDT</x:v>
      </x:c>
      <x:c r="F60" t="str">
        <x:v>C03</x:v>
      </x:c>
      <x:c r="G60" t="str">
        <x:v>Hwy 107 northbound — North Hills</x:v>
      </x:c>
      <x:c r="H60" t="str">
        <x:v>#05 Hwy 107 (Northbound) Greens at North Hills</x:v>
      </x:c>
      <x:c r="I60" s="38" t="n">
        <x:v>34.8217311</x:v>
      </x:c>
      <x:c r="J60" s="38" t="n">
        <x:v>-92.2313695</x:v>
      </x:c>
      <x:c r="K60" s="36" t="n">
        <x:v>1</x:v>
      </x:c>
      <x:c r="L60" t="str">
        <x:v>Chevrolet</x:v>
      </x:c>
      <x:c r="M60" t="str">
        <x:v>Chevrolet</x:v>
      </x:c>
      <x:c r="N60" t="str">
        <x:v>Pickup</x:v>
      </x:c>
      <x:c r="O60" t="str">
        <x:v>white</x:v>
      </x:c>
    </x:row>
    <x:row r="61">
      <x:c r="A61" s="36" t="n">
        <x:v>60</x:v>
      </x:c>
      <x:c r="B61" t="str">
        <x:v>Vehicle A</x:v>
      </x:c>
      <x:c r="C61" s="35" t="n">
        <x:v>46196.5</x:v>
      </x:c>
      <x:c r="D61" t="str">
        <x:v>16:43:48</x:v>
      </x:c>
      <x:c r="E61" t="str">
        <x:v>2026-06-23 16:43:48 CDT</x:v>
      </x:c>
      <x:c r="F61" t="str">
        <x:v>C04</x:v>
      </x:c>
      <x:c r="G61" t="str">
        <x:v>Kellogg Acres Rd northbound — city limits</x:v>
      </x:c>
      <x:c r="H61" t="str">
        <x:v>#04 Kellogg Acres Rd @ North City Limits NB</x:v>
      </x:c>
      <x:c r="I61" s="38" t="n">
        <x:v>34.87271694</x:v>
      </x:c>
      <x:c r="J61" s="38" t="n">
        <x:v>-92.22918117</x:v>
      </x:c>
      <x:c r="K61" s="36" t="n">
        <x:v>1</x:v>
      </x:c>
      <x:c r="L61" t="str">
        <x:v>Chevrolet</x:v>
      </x:c>
      <x:c r="M61" t="str">
        <x:v>Chevrolet</x:v>
      </x:c>
      <x:c r="N61" t="str">
        <x:v>Pickup</x:v>
      </x:c>
      <x:c r="O61" t="str">
        <x:v>white</x:v>
      </x:c>
    </x:row>
    <x:row r="62">
      <x:c r="A62" s="36" t="n">
        <x:v>61</x:v>
      </x:c>
      <x:c r="B62" t="str">
        <x:v>Vehicle A</x:v>
      </x:c>
      <x:c r="C62" s="35" t="n">
        <x:v>46197.5</x:v>
      </x:c>
      <x:c r="D62" t="str">
        <x:v>14:53:47</x:v>
      </x:c>
      <x:c r="E62" t="str">
        <x:v>2026-06-24 14:53:47 CDT</x:v>
      </x:c>
      <x:c r="F62" t="str">
        <x:v>C03</x:v>
      </x:c>
      <x:c r="G62" t="str">
        <x:v>Hwy 107 northbound — North Hills</x:v>
      </x:c>
      <x:c r="H62" t="str">
        <x:v>#05 Hwy 107 (Northbound) Greens at North Hills</x:v>
      </x:c>
      <x:c r="I62" s="38" t="n">
        <x:v>34.8217311</x:v>
      </x:c>
      <x:c r="J62" s="38" t="n">
        <x:v>-92.2313695</x:v>
      </x:c>
      <x:c r="K62" s="36" t="n">
        <x:v>1</x:v>
      </x:c>
      <x:c r="L62" t="str">
        <x:v>Chevrolet</x:v>
      </x:c>
      <x:c r="M62" t="str">
        <x:v>Chevrolet</x:v>
      </x:c>
      <x:c r="N62" t="str">
        <x:v>Pickup</x:v>
      </x:c>
      <x:c r="O62" t="str">
        <x:v>white</x:v>
      </x:c>
    </x:row>
    <x:row r="63">
      <x:c r="A63" s="36" t="n">
        <x:v>62</x:v>
      </x:c>
      <x:c r="B63" t="str">
        <x:v>Vehicle A</x:v>
      </x:c>
      <x:c r="C63" s="35" t="n">
        <x:v>46197.5</x:v>
      </x:c>
      <x:c r="D63" t="str">
        <x:v>14:59:41</x:v>
      </x:c>
      <x:c r="E63" t="str">
        <x:v>2026-06-24 14:59:41 CDT</x:v>
      </x:c>
      <x:c r="F63" t="str">
        <x:v>C04</x:v>
      </x:c>
      <x:c r="G63" t="str">
        <x:v>Kellogg Acres Rd northbound — city limits</x:v>
      </x:c>
      <x:c r="H63" t="str">
        <x:v>#04 Kellogg Acres Rd @ North City Limits NB</x:v>
      </x:c>
      <x:c r="I63" s="38" t="n">
        <x:v>34.87271694</x:v>
      </x:c>
      <x:c r="J63" s="38" t="n">
        <x:v>-92.22918117</x:v>
      </x:c>
      <x:c r="K63" s="36" t="n">
        <x:v>1</x:v>
      </x:c>
      <x:c r="L63" t="str">
        <x:v>Chevrolet</x:v>
      </x:c>
      <x:c r="M63" t="str">
        <x:v>Chevrolet</x:v>
      </x:c>
      <x:c r="N63" t="str">
        <x:v>Pickup</x:v>
      </x:c>
      <x:c r="O63" t="str">
        <x:v>white</x:v>
      </x:c>
    </x:row>
    <x:row r="64">
      <x:c r="A64" s="36" t="n">
        <x:v>63</x:v>
      </x:c>
      <x:c r="B64" t="str">
        <x:v>Vehicle A</x:v>
      </x:c>
      <x:c r="C64" s="35" t="n">
        <x:v>46199.5</x:v>
      </x:c>
      <x:c r="D64" t="str">
        <x:v>10:00:31</x:v>
      </x:c>
      <x:c r="E64" t="str">
        <x:v>2026-06-26 10:00:31 CDT</x:v>
      </x:c>
      <x:c r="F64" t="str">
        <x:v>C06</x:v>
      </x:c>
      <x:c r="G64" t="str">
        <x:v>Brockington Rd northbound</x:v>
      </x:c>
      <x:c r="H64" t="str">
        <x:v>#02 Brockington Rd (Northbound)</x:v>
      </x:c>
      <x:c r="I64" s="38" t="n">
        <x:v>34.82933191</x:v>
      </x:c>
      <x:c r="J64" s="38" t="n">
        <x:v>-92.1910489</x:v>
      </x:c>
      <x:c r="K64" s="36" t="n">
        <x:v>1</x:v>
      </x:c>
      <x:c r="L64" t="str">
        <x:v>Chevrolet</x:v>
      </x:c>
      <x:c r="M64" t="str">
        <x:v>Chevrolet</x:v>
      </x:c>
      <x:c r="N64" t="str">
        <x:v>Pickup</x:v>
      </x:c>
      <x:c r="O64" t="str">
        <x:v>white</x:v>
      </x:c>
    </x:row>
    <x:row r="65">
      <x:c r="A65" s="36" t="n">
        <x:v>64</x:v>
      </x:c>
      <x:c r="B65" t="str">
        <x:v>Vehicle A</x:v>
      </x:c>
      <x:c r="C65" s="35" t="n">
        <x:v>46199.5</x:v>
      </x:c>
      <x:c r="D65" t="str">
        <x:v>15:06:14</x:v>
      </x:c>
      <x:c r="E65" t="str">
        <x:v>2026-06-26 15:06:14 CDT</x:v>
      </x:c>
      <x:c r="F65" t="str">
        <x:v>C05</x:v>
      </x:c>
      <x:c r="G65" t="str">
        <x:v>Hwy 107 southbound — North Hills</x:v>
      </x:c>
      <x:c r="H65" t="str">
        <x:v>#06 Hwy 107 Southbound Near Taco Bell at North Hills Blvd.</x:v>
      </x:c>
      <x:c r="I65" s="38" t="n">
        <x:v>34.82041424</x:v>
      </x:c>
      <x:c r="J65" s="38" t="n">
        <x:v>-92.2329764</x:v>
      </x:c>
      <x:c r="K65" s="36" t="n">
        <x:v>4</x:v>
      </x:c>
      <x:c r="L65" t="str">
        <x:v>GMC</x:v>
      </x:c>
      <x:c r="M65" t="str">
        <x:v>Chevrolet, GMC</x:v>
      </x:c>
      <x:c r="N65" t="str">
        <x:v>Pickup</x:v>
      </x:c>
      <x:c r="O65" t="str">
        <x:v>white</x:v>
      </x:c>
    </x:row>
    <x:row r="66">
      <x:c r="A66" s="36" t="n">
        <x:v>65</x:v>
      </x:c>
      <x:c r="B66" t="str">
        <x:v>Vehicle A</x:v>
      </x:c>
      <x:c r="C66" s="35" t="n">
        <x:v>46199.5</x:v>
      </x:c>
      <x:c r="D66" t="str">
        <x:v>16:47:30</x:v>
      </x:c>
      <x:c r="E66" t="str">
        <x:v>2026-06-26 16:47:30 CDT</x:v>
      </x:c>
      <x:c r="F66" t="str">
        <x:v>C03</x:v>
      </x:c>
      <x:c r="G66" t="str">
        <x:v>Hwy 107 northbound — North Hills</x:v>
      </x:c>
      <x:c r="H66" t="str">
        <x:v>#05 Hwy 107 (Northbound) Greens at North Hills</x:v>
      </x:c>
      <x:c r="I66" s="38" t="n">
        <x:v>34.8217311</x:v>
      </x:c>
      <x:c r="J66" s="38" t="n">
        <x:v>-92.2313695</x:v>
      </x:c>
      <x:c r="K66" s="36" t="n">
        <x:v>1</x:v>
      </x:c>
      <x:c r="L66" t="str">
        <x:v>Chevrolet</x:v>
      </x:c>
      <x:c r="M66" t="str">
        <x:v>Chevrolet</x:v>
      </x:c>
      <x:c r="N66" t="str">
        <x:v>Pickup</x:v>
      </x:c>
      <x:c r="O66" t="str">
        <x:v>white</x:v>
      </x:c>
    </x:row>
    <x:row r="67">
      <x:c r="A67" s="36" t="n">
        <x:v>66</x:v>
      </x:c>
      <x:c r="B67" t="str">
        <x:v>Vehicle A</x:v>
      </x:c>
      <x:c r="C67" s="35" t="n">
        <x:v>46199.5</x:v>
      </x:c>
      <x:c r="D67" t="str">
        <x:v>16:54:53</x:v>
      </x:c>
      <x:c r="E67" t="str">
        <x:v>2026-06-26 16:54:53 CDT</x:v>
      </x:c>
      <x:c r="F67" t="str">
        <x:v>C04</x:v>
      </x:c>
      <x:c r="G67" t="str">
        <x:v>Kellogg Acres Rd northbound — city limits</x:v>
      </x:c>
      <x:c r="H67" t="str">
        <x:v>#04 Kellogg Acres Rd @ North City Limits NB</x:v>
      </x:c>
      <x:c r="I67" s="38" t="n">
        <x:v>34.87271694</x:v>
      </x:c>
      <x:c r="J67" s="38" t="n">
        <x:v>-92.22918117</x:v>
      </x:c>
      <x:c r="K67" s="36" t="n">
        <x:v>1</x:v>
      </x:c>
      <x:c r="L67" t="str">
        <x:v>Chevrolet</x:v>
      </x:c>
      <x:c r="M67" t="str">
        <x:v>Chevrolet</x:v>
      </x:c>
      <x:c r="N67" t="str">
        <x:v>Pickup</x:v>
      </x:c>
      <x:c r="O67" t="str">
        <x:v>white</x:v>
      </x:c>
    </x:row>
    <x:row r="68">
      <x:c r="A68" s="36" t="n">
        <x:v>67</x:v>
      </x:c>
      <x:c r="B68" t="str">
        <x:v>Vehicle A</x:v>
      </x:c>
      <x:c r="C68" s="35" t="n">
        <x:v>46200.5</x:v>
      </x:c>
      <x:c r="D68" t="str">
        <x:v>12:00:35</x:v>
      </x:c>
      <x:c r="E68" t="str">
        <x:v>2026-06-27 12:00:35 CDT</x:v>
      </x:c>
      <x:c r="F68" t="str">
        <x:v>C12</x:v>
      </x:c>
      <x:c r="G68" t="str">
        <x:v>Hwy 107 southbound — General Samuels</x:v>
      </x:c>
      <x:c r="H68" t="str">
        <x:v>#07 Hwy 107 (Southbound) Near General Samuels</x:v>
      </x:c>
      <x:c r="I68" s="38" t="n">
        <x:v>34.88060988</x:v>
      </x:c>
      <x:c r="J68" s="38" t="n">
        <x:v>-92.18205206</x:v>
      </x:c>
      <x:c r="K68" s="36" t="n">
        <x:v>1</x:v>
      </x:c>
      <x:c r="L68" t="str">
        <x:v>Chevrolet</x:v>
      </x:c>
      <x:c r="M68" t="str">
        <x:v>Chevrolet</x:v>
      </x:c>
      <x:c r="N68" t="str">
        <x:v>Pickup</x:v>
      </x:c>
      <x:c r="O68" t="str">
        <x:v>white</x:v>
      </x:c>
    </x:row>
    <x:row r="69">
      <x:c r="A69" s="36" t="n">
        <x:v>68</x:v>
      </x:c>
      <x:c r="B69" t="str">
        <x:v>Vehicle A</x:v>
      </x:c>
      <x:c r="C69" s="35" t="n">
        <x:v>46200.5</x:v>
      </x:c>
      <x:c r="D69" t="str">
        <x:v>13:03:09</x:v>
      </x:c>
      <x:c r="E69" t="str">
        <x:v>2026-06-27 13:03:09 CDT</x:v>
      </x:c>
      <x:c r="F69" t="str">
        <x:v>C05</x:v>
      </x:c>
      <x:c r="G69" t="str">
        <x:v>Hwy 107 southbound — North Hills</x:v>
      </x:c>
      <x:c r="H69" t="str">
        <x:v>#06 Hwy 107 Southbound Near Taco Bell at North Hills Blvd.</x:v>
      </x:c>
      <x:c r="I69" s="38" t="n">
        <x:v>34.82041424</x:v>
      </x:c>
      <x:c r="J69" s="38" t="n">
        <x:v>-92.2329764</x:v>
      </x:c>
      <x:c r="K69" s="36" t="n">
        <x:v>1</x:v>
      </x:c>
      <x:c r="L69" t="str">
        <x:v>Chevrolet</x:v>
      </x:c>
      <x:c r="M69" t="str">
        <x:v>Chevrolet</x:v>
      </x:c>
      <x:c r="N69" t="str">
        <x:v>Pickup</x:v>
      </x:c>
      <x:c r="O69" t="str">
        <x:v>white</x:v>
      </x:c>
    </x:row>
    <x:row r="70">
      <x:c r="A70" s="36" t="n">
        <x:v>69</x:v>
      </x:c>
      <x:c r="B70" t="str">
        <x:v>Vehicle A</x:v>
      </x:c>
      <x:c r="C70" s="35" t="n">
        <x:v>46200.5</x:v>
      </x:c>
      <x:c r="D70" t="str">
        <x:v>14:54:25</x:v>
      </x:c>
      <x:c r="E70" t="str">
        <x:v>2026-06-27 14:54:25 CDT</x:v>
      </x:c>
      <x:c r="F70" t="str">
        <x:v>C03</x:v>
      </x:c>
      <x:c r="G70" t="str">
        <x:v>Hwy 107 northbound — North Hills</x:v>
      </x:c>
      <x:c r="H70" t="str">
        <x:v>#05 Hwy 107 (Northbound) Greens at North Hills</x:v>
      </x:c>
      <x:c r="I70" s="38" t="n">
        <x:v>34.8217311</x:v>
      </x:c>
      <x:c r="J70" s="38" t="n">
        <x:v>-92.2313695</x:v>
      </x:c>
      <x:c r="K70" s="36" t="n">
        <x:v>1</x:v>
      </x:c>
      <x:c r="L70" t="str">
        <x:v>Chevrolet</x:v>
      </x:c>
      <x:c r="M70" t="str">
        <x:v>Chevrolet</x:v>
      </x:c>
      <x:c r="N70" t="str">
        <x:v>Pickup</x:v>
      </x:c>
      <x:c r="O70" t="str">
        <x:v>white</x:v>
      </x:c>
    </x:row>
    <x:row r="71">
      <x:c r="A71" s="36" t="n">
        <x:v>70</x:v>
      </x:c>
      <x:c r="B71" t="str">
        <x:v>Vehicle A</x:v>
      </x:c>
      <x:c r="C71" s="35" t="n">
        <x:v>46200.5</x:v>
      </x:c>
      <x:c r="D71" t="str">
        <x:v>15:00:16</x:v>
      </x:c>
      <x:c r="E71" t="str">
        <x:v>2026-06-27 15:00:16 CDT</x:v>
      </x:c>
      <x:c r="F71" t="str">
        <x:v>C04</x:v>
      </x:c>
      <x:c r="G71" t="str">
        <x:v>Kellogg Acres Rd northbound — city limits</x:v>
      </x:c>
      <x:c r="H71" t="str">
        <x:v>#04 Kellogg Acres Rd @ North City Limits NB</x:v>
      </x:c>
      <x:c r="I71" s="38" t="n">
        <x:v>34.87271694</x:v>
      </x:c>
      <x:c r="J71" s="38" t="n">
        <x:v>-92.22918117</x:v>
      </x:c>
      <x:c r="K71" s="36" t="n">
        <x:v>1</x:v>
      </x:c>
      <x:c r="L71" t="str">
        <x:v>Chevrolet</x:v>
      </x:c>
      <x:c r="M71" t="str">
        <x:v>Chevrolet</x:v>
      </x:c>
      <x:c r="N71" t="str">
        <x:v>Pickup</x:v>
      </x:c>
      <x:c r="O71" t="str">
        <x:v>white</x:v>
      </x:c>
    </x:row>
    <x:row r="72">
      <x:c r="A72" s="36" t="n">
        <x:v>71</x:v>
      </x:c>
      <x:c r="B72" t="str">
        <x:v>Vehicle A</x:v>
      </x:c>
      <x:c r="C72" s="35" t="n">
        <x:v>46201.5</x:v>
      </x:c>
      <x:c r="D72" t="str">
        <x:v>09:51:01</x:v>
      </x:c>
      <x:c r="E72" t="str">
        <x:v>2026-06-28 09:51:01 CDT</x:v>
      </x:c>
      <x:c r="F72" t="str">
        <x:v>C04</x:v>
      </x:c>
      <x:c r="G72" t="str">
        <x:v>Kellogg Acres Rd northbound — city limits</x:v>
      </x:c>
      <x:c r="H72" t="str">
        <x:v>#04 Kellogg Acres Rd @ North City Limits NB</x:v>
      </x:c>
      <x:c r="I72" s="38" t="n">
        <x:v>34.87271694</x:v>
      </x:c>
      <x:c r="J72" s="38" t="n">
        <x:v>-92.22918117</x:v>
      </x:c>
      <x:c r="K72" s="36" t="n">
        <x:v>1</x:v>
      </x:c>
      <x:c r="L72" t="str">
        <x:v>Chevrolet</x:v>
      </x:c>
      <x:c r="M72" t="str">
        <x:v>Chevrolet</x:v>
      </x:c>
      <x:c r="N72" t="str">
        <x:v>Pickup</x:v>
      </x:c>
      <x:c r="O72" t="str">
        <x:v>white</x:v>
      </x:c>
    </x:row>
    <x:row r="73">
      <x:c r="A73" s="36" t="n">
        <x:v>72</x:v>
      </x:c>
      <x:c r="B73" t="str">
        <x:v>Vehicle A</x:v>
      </x:c>
      <x:c r="C73" s="35" t="n">
        <x:v>46201.5</x:v>
      </x:c>
      <x:c r="D73" t="str">
        <x:v>13:41:56</x:v>
      </x:c>
      <x:c r="E73" t="str">
        <x:v>2026-06-28 13:41:56 CDT</x:v>
      </x:c>
      <x:c r="F73" t="str">
        <x:v>C05</x:v>
      </x:c>
      <x:c r="G73" t="str">
        <x:v>Hwy 107 southbound — North Hills</x:v>
      </x:c>
      <x:c r="H73" t="str">
        <x:v>#06 Hwy 107 Southbound Near Taco Bell at North Hills Blvd.</x:v>
      </x:c>
      <x:c r="I73" s="38" t="n">
        <x:v>34.82041424</x:v>
      </x:c>
      <x:c r="J73" s="38" t="n">
        <x:v>-92.2329764</x:v>
      </x:c>
      <x:c r="K73" s="36" t="n">
        <x:v>1</x:v>
      </x:c>
      <x:c r="L73" t="str">
        <x:v>Chevrolet</x:v>
      </x:c>
      <x:c r="M73" t="str">
        <x:v>Chevrolet</x:v>
      </x:c>
      <x:c r="N73" t="str">
        <x:v>Pickup</x:v>
      </x:c>
      <x:c r="O73" t="str">
        <x:v>white</x:v>
      </x:c>
    </x:row>
    <x:row r="74">
      <x:c r="A74" s="36" t="n">
        <x:v>73</x:v>
      </x:c>
      <x:c r="B74" t="str">
        <x:v>Vehicle A</x:v>
      </x:c>
      <x:c r="C74" s="35" t="n">
        <x:v>46201.5</x:v>
      </x:c>
      <x:c r="D74" t="str">
        <x:v>15:32:52</x:v>
      </x:c>
      <x:c r="E74" t="str">
        <x:v>2026-06-28 15:32:52 CDT</x:v>
      </x:c>
      <x:c r="F74" t="str">
        <x:v>C03</x:v>
      </x:c>
      <x:c r="G74" t="str">
        <x:v>Hwy 107 northbound — North Hills</x:v>
      </x:c>
      <x:c r="H74" t="str">
        <x:v>#05 Hwy 107 (Northbound) Greens at North Hills</x:v>
      </x:c>
      <x:c r="I74" s="38" t="n">
        <x:v>34.8217311</x:v>
      </x:c>
      <x:c r="J74" s="38" t="n">
        <x:v>-92.2313695</x:v>
      </x:c>
      <x:c r="K74" s="36" t="n">
        <x:v>1</x:v>
      </x:c>
      <x:c r="L74" t="str">
        <x:v>Chevrolet</x:v>
      </x:c>
      <x:c r="M74" t="str">
        <x:v>Chevrolet</x:v>
      </x:c>
      <x:c r="N74" t="str">
        <x:v>Pickup</x:v>
      </x:c>
      <x:c r="O74" t="str">
        <x:v>white</x:v>
      </x:c>
    </x:row>
    <x:row r="75">
      <x:c r="A75" s="36" t="n">
        <x:v>74</x:v>
      </x:c>
      <x:c r="B75" t="str">
        <x:v>Vehicle A</x:v>
      </x:c>
      <x:c r="C75" s="35" t="n">
        <x:v>46201.5</x:v>
      </x:c>
      <x:c r="D75" t="str">
        <x:v>15:39:40</x:v>
      </x:c>
      <x:c r="E75" t="str">
        <x:v>2026-06-28 15:39:40 CDT</x:v>
      </x:c>
      <x:c r="F75" t="str">
        <x:v>C04</x:v>
      </x:c>
      <x:c r="G75" t="str">
        <x:v>Kellogg Acres Rd northbound — city limits</x:v>
      </x:c>
      <x:c r="H75" t="str">
        <x:v>#04 Kellogg Acres Rd @ North City Limits NB</x:v>
      </x:c>
      <x:c r="I75" s="38" t="n">
        <x:v>34.87271694</x:v>
      </x:c>
      <x:c r="J75" s="38" t="n">
        <x:v>-92.22918117</x:v>
      </x:c>
      <x:c r="K75" s="36" t="n">
        <x:v>1</x:v>
      </x:c>
      <x:c r="L75" t="str">
        <x:v>Chevrolet</x:v>
      </x:c>
      <x:c r="M75" t="str">
        <x:v>Chevrolet</x:v>
      </x:c>
      <x:c r="N75" t="str">
        <x:v>Pickup</x:v>
      </x:c>
      <x:c r="O75" t="str">
        <x:v>white</x:v>
      </x:c>
    </x:row>
  </x:sheetData>
  <x:pageMargins left="0.7" right="0.7" top="0.75" bottom="0.75" header="0.3" footer="0.3"/>
  <x:tableParts count="1">
    <x:tablePart xmlns:r="http://schemas.openxmlformats.org/officeDocument/2006/relationships" r:id="R3a72479b139b48b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3" hidden="0" customWidth="1"/>
    <x:col min="3" max="3" width="23" hidden="0" customWidth="1"/>
    <x:col min="4" max="4" width="10" hidden="0" customWidth="1"/>
    <x:col min="5" max="5" width="10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3" hidden="0" customWidth="1"/>
    <x:col min="11" max="11" width="18" hidden="0" customWidth="1"/>
    <x:col min="12" max="12" width="13" hidden="0" customWidth="1"/>
    <x:col min="13" max="13" width="58" hidden="0" customWidth="1"/>
  </x:cols>
  <x:sheetData>
    <x:row r="1" ht="30" customHeight="1">
      <x:c r="A1" s="14" t="str">
        <x:v>Date</x:v>
      </x:c>
      <x:c r="B1" s="21" t="str">
        <x:v>Start timestamp (CDT)</x:v>
      </x:c>
      <x:c r="C1" s="21" t="str">
        <x:v>End timestamp (CDT)</x:v>
      </x:c>
      <x:c r="D1" s="21" t="str">
        <x:v>From ID</x:v>
      </x:c>
      <x:c r="E1" s="21" t="str">
        <x:v>To ID</x:v>
      </x:c>
      <x:c r="F1" s="21" t="str">
        <x:v>From latitude</x:v>
      </x:c>
      <x:c r="G1" s="21" t="str">
        <x:v>From longitude</x:v>
      </x:c>
      <x:c r="H1" s="21" t="str">
        <x:v>To latitude</x:v>
      </x:c>
      <x:c r="I1" s="21" t="str">
        <x:v>To longitude</x:v>
      </x:c>
      <x:c r="J1" s="21" t="str">
        <x:v>Gap minutes</x:v>
      </x:c>
      <x:c r="K1" s="21" t="str">
        <x:v>Straight-line miles</x:v>
      </x:c>
      <x:c r="L1" s="21" t="str">
        <x:v>Category</x:v>
      </x:c>
      <x:c r="M1" s="15" t="str">
        <x:v>Interpretation</x:v>
      </x:c>
    </x:row>
    <x:row r="2">
      <x:c r="A2" s="35" t="n">
        <x:v>46177.5</x:v>
      </x:c>
      <x:c r="B2" s="41" t="n">
        <x:v>46177.64876157408</x:v>
      </x:c>
      <x:c r="C2" s="41" t="n">
        <x:v>46177.837118055555</x:v>
      </x:c>
      <x:c r="D2" t="str">
        <x:v>C04</x:v>
      </x:c>
      <x:c r="E2" t="str">
        <x:v>C01</x:v>
      </x:c>
      <x:c r="F2" s="38" t="n">
        <x:v>34.87271694</x:v>
      </x:c>
      <x:c r="G2" s="38" t="n">
        <x:v>-92.22918117</x:v>
      </x:c>
      <x:c r="H2" s="38" t="n">
        <x:v>34.82712949</x:v>
      </x:c>
      <x:c r="I2" s="38" t="n">
        <x:v>-92.19130226</x:v>
      </x:c>
      <x:c r="J2" s="37" t="n">
        <x:f>(C2-B2)*1440</x:f>
        <x:v>271.23333332827315</x:v>
      </x:c>
      <x:c r="K2" s="40" t="n">
        <x:f>ACOS(MIN(1,MAX(-1,SIN(RADIANS(F2))*SIN(RADIANS(H2))+COS(RADIANS(F2))*COS(RADIANS(H2))*COS(RADIANS(I2-G2)))))*3958.8</x:f>
        <x:v>3.8124145739017927</x:v>
      </x:c>
      <x:c r="L2" t="str">
        <x:f>IF(J2&lt;=20,"Close",IF(J2&lt;=90,"Possible","Separated"))</x:f>
        <x:v>Separated</x:v>
      </x:c>
      <x:c r="M2" t="str">
        <x:f>IF(L2="Close","Close chronological sequence",IF(L2="Possible","Possible same outing; intervening stop or unobserved travel possible","Time-separated same-day sightings; not treated as a continuous route"))</x:f>
        <x:v>Time-separated same-day sightings; not treated as a continuous route</x:v>
      </x:c>
    </x:row>
    <x:row r="3">
      <x:c r="A3" s="35" t="n">
        <x:v>46177.5</x:v>
      </x:c>
      <x:c r="B3" s="41" t="n">
        <x:v>46177.837118055555</x:v>
      </x:c>
      <x:c r="C3" s="41" t="n">
        <x:v>46177.84237268518</x:v>
      </x:c>
      <x:c r="D3" t="str">
        <x:v>C01</x:v>
      </x:c>
      <x:c r="E3" t="str">
        <x:v>C02</x:v>
      </x:c>
      <x:c r="F3" s="38" t="n">
        <x:v>34.82712949</x:v>
      </x:c>
      <x:c r="G3" s="38" t="n">
        <x:v>-92.19130226</x:v>
      </x:c>
      <x:c r="H3" s="38" t="n">
        <x:v>34.81258891</x:v>
      </x:c>
      <x:c r="I3" s="38" t="n">
        <x:v>-92.20502351</x:v>
      </x:c>
      <x:c r="J3" s="37" t="n">
        <x:f>(C3-B3)*1440</x:f>
        <x:v>7.5666666647884995</x:v>
      </x:c>
      <x:c r="K3" s="40" t="n">
        <x:f>ACOS(MIN(1,MAX(-1,SIN(RADIANS(F3))*SIN(RADIANS(H3))+COS(RADIANS(F3))*COS(RADIANS(H3))*COS(RADIANS(I3-G3)))))*3958.8</x:f>
        <x:v>1.270874905247472</x:v>
      </x:c>
      <x:c r="L3" t="str">
        <x:f>IF(J3&lt;=20,"Close",IF(J3&lt;=90,"Possible","Separated"))</x:f>
        <x:v>Close</x:v>
      </x:c>
      <x:c r="M3" t="str">
        <x:f>IF(L3="Close","Close chronological sequence",IF(L3="Possible","Possible same outing; intervening stop or unobserved travel possible","Time-separated same-day sightings; not treated as a continuous route"))</x:f>
        <x:v>Close chronological sequence</x:v>
      </x:c>
    </x:row>
    <x:row r="4">
      <x:c r="A4" s="35" t="n">
        <x:v>46178.5</x:v>
      </x:c>
      <x:c r="B4" s="41" t="n">
        <x:v>46178.59931712963</x:v>
      </x:c>
      <x:c r="C4" s="41" t="n">
        <x:v>46178.60396990741</x:v>
      </x:c>
      <x:c r="D4" t="str">
        <x:v>C03</x:v>
      </x:c>
      <x:c r="E4" t="str">
        <x:v>C04</x:v>
      </x:c>
      <x:c r="F4" s="38" t="n">
        <x:v>34.8217311</x:v>
      </x:c>
      <x:c r="G4" s="38" t="n">
        <x:v>-92.2313695</x:v>
      </x:c>
      <x:c r="H4" s="38" t="n">
        <x:v>34.87271694</x:v>
      </x:c>
      <x:c r="I4" s="38" t="n">
        <x:v>-92.22918117</x:v>
      </x:c>
      <x:c r="J4" s="37" t="n">
        <x:f>(C4-B4)*1440</x:f>
        <x:v>6.700000005075708</x:v>
      </x:c>
      <x:c r="K4" s="40" t="n">
        <x:f>ACOS(MIN(1,MAX(-1,SIN(RADIANS(F4))*SIN(RADIANS(H4))+COS(RADIANS(F4))*COS(RADIANS(H4))*COS(RADIANS(I4-G4)))))*3958.8</x:f>
        <x:v>3.525005176961056</x:v>
      </x:c>
      <x:c r="L4" t="str">
        <x:f>IF(J4&lt;=20,"Close",IF(J4&lt;=90,"Possible","Separated"))</x:f>
        <x:v>Close</x:v>
      </x:c>
      <x:c r="M4" t="str">
        <x:f>IF(L4="Close","Close chronological sequence",IF(L4="Possible","Possible same outing; intervening stop or unobserved travel possible","Time-separated same-day sightings; not treated as a continuous route"))</x:f>
        <x:v>Close chronological sequence</x:v>
      </x:c>
    </x:row>
    <x:row r="5">
      <x:c r="A5" s="35" t="n">
        <x:v>46178.5</x:v>
      </x:c>
      <x:c r="B5" s="41" t="n">
        <x:v>46178.60396990741</x:v>
      </x:c>
      <x:c r="C5" s="41" t="n">
        <x:v>46178.69792824074</x:v>
      </x:c>
      <x:c r="D5" t="str">
        <x:v>C04</x:v>
      </x:c>
      <x:c r="E5" t="str">
        <x:v>C05</x:v>
      </x:c>
      <x:c r="F5" s="38" t="n">
        <x:v>34.87271694</x:v>
      </x:c>
      <x:c r="G5" s="38" t="n">
        <x:v>-92.22918117</x:v>
      </x:c>
      <x:c r="H5" s="38" t="n">
        <x:v>34.82041424</x:v>
      </x:c>
      <x:c r="I5" s="38" t="n">
        <x:v>-92.2329764</x:v>
      </x:c>
      <x:c r="J5" s="37" t="n">
        <x:f>(C5-B5)*1440</x:f>
        <x:v>135.29999999678694</x:v>
      </x:c>
      <x:c r="K5" s="40" t="n">
        <x:f>ACOS(MIN(1,MAX(-1,SIN(RADIANS(F5))*SIN(RADIANS(H5))+COS(RADIANS(F5))*COS(RADIANS(H5))*COS(RADIANS(I5-G5)))))*3958.8</x:f>
        <x:v>3.620209926278151</x:v>
      </x:c>
      <x:c r="L5" t="str">
        <x:f>IF(J5&lt;=20,"Close",IF(J5&lt;=90,"Possible","Separated"))</x:f>
        <x:v>Separated</x:v>
      </x:c>
      <x:c r="M5" t="str">
        <x:f>IF(L5="Close","Close chronological sequence",IF(L5="Possible","Possible same outing; intervening stop or unobserved travel possible","Time-separated same-day sightings; not treated as a continuous route"))</x:f>
        <x:v>Time-separated same-day sightings; not treated as a continuous route</x:v>
      </x:c>
    </x:row>
    <x:row r="6">
      <x:c r="A6" s="35" t="n">
        <x:v>46178.5</x:v>
      </x:c>
      <x:c r="B6" s="41" t="n">
        <x:v>46178.69792824074</x:v>
      </x:c>
      <x:c r="C6" s="41" t="n">
        <x:v>46178.76548611111</x:v>
      </x:c>
      <x:c r="D6" t="str">
        <x:v>C05</x:v>
      </x:c>
      <x:c r="E6" t="str">
        <x:v>C03</x:v>
      </x:c>
      <x:c r="F6" s="38" t="n">
        <x:v>34.82041424</x:v>
      </x:c>
      <x:c r="G6" s="38" t="n">
        <x:v>-92.2329764</x:v>
      </x:c>
      <x:c r="H6" s="38" t="n">
        <x:v>34.8217311</x:v>
      </x:c>
      <x:c r="I6" s="38" t="n">
        <x:v>-92.2313695</x:v>
      </x:c>
      <x:c r="J6" s="37" t="n">
        <x:f>(C6-B6)*1440</x:f>
        <x:v>97.28333332808688</x:v>
      </x:c>
      <x:c r="K6" s="40" t="n">
        <x:f>ACOS(MIN(1,MAX(-1,SIN(RADIANS(F6))*SIN(RADIANS(H6))+COS(RADIANS(F6))*COS(RADIANS(H6))*COS(RADIANS(I6-G6)))))*3958.8</x:f>
        <x:v>0.1287881787096219</x:v>
      </x:c>
      <x:c r="L6" t="str">
        <x:f>IF(J6&lt;=20,"Close",IF(J6&lt;=90,"Possible","Separated"))</x:f>
        <x:v>Separated</x:v>
      </x:c>
      <x:c r="M6" t="str">
        <x:f>IF(L6="Close","Close chronological sequence",IF(L6="Possible","Possible same outing; intervening stop or unobserved travel possible","Time-separated same-day sightings; not treated as a continuous route"))</x:f>
        <x:v>Time-separated same-day sightings; not treated as a continuous route</x:v>
      </x:c>
    </x:row>
    <x:row r="7">
      <x:c r="A7" s="35" t="n">
        <x:v>46178.5</x:v>
      </x:c>
      <x:c r="B7" s="41" t="n">
        <x:v>46178.76548611111</x:v>
      </x:c>
      <x:c r="C7" s="41" t="n">
        <x:v>46178.770891203705</x:v>
      </x:c>
      <x:c r="D7" t="str">
        <x:v>C03</x:v>
      </x:c>
      <x:c r="E7" t="str">
        <x:v>C04</x:v>
      </x:c>
      <x:c r="F7" s="38" t="n">
        <x:v>34.8217311</x:v>
      </x:c>
      <x:c r="G7" s="38" t="n">
        <x:v>-92.2313695</x:v>
      </x:c>
      <x:c r="H7" s="38" t="n">
        <x:v>34.87271694</x:v>
      </x:c>
      <x:c r="I7" s="38" t="n">
        <x:v>-92.22918117</x:v>
      </x:c>
      <x:c r="J7" s="37" t="n">
        <x:f>(C7-B7)*1440</x:f>
        <x:v>7.783333340194076</x:v>
      </x:c>
      <x:c r="K7" s="40" t="n">
        <x:f>ACOS(MIN(1,MAX(-1,SIN(RADIANS(F7))*SIN(RADIANS(H7))+COS(RADIANS(F7))*COS(RADIANS(H7))*COS(RADIANS(I7-G7)))))*3958.8</x:f>
        <x:v>3.525005176961056</x:v>
      </x:c>
      <x:c r="L7" t="str">
        <x:f>IF(J7&lt;=20,"Close",IF(J7&lt;=90,"Possible","Separated"))</x:f>
        <x:v>Close</x:v>
      </x:c>
      <x:c r="M7" t="str">
        <x:f>IF(L7="Close","Close chronological sequence",IF(L7="Possible","Possible same outing; intervening stop or unobserved travel possible","Time-separated same-day sightings; not treated as a continuous route"))</x:f>
        <x:v>Close chronological sequence</x:v>
      </x:c>
    </x:row>
    <x:row r="8">
      <x:c r="A8" s="35" t="n">
        <x:v>46178.5</x:v>
      </x:c>
      <x:c r="B8" s="41" t="n">
        <x:v>46178.770891203705</x:v>
      </x:c>
      <x:c r="C8" s="41" t="n">
        <x:v>46178.850381944445</x:v>
      </x:c>
      <x:c r="D8" t="str">
        <x:v>C04</x:v>
      </x:c>
      <x:c r="E8" t="str">
        <x:v>C05</x:v>
      </x:c>
      <x:c r="F8" s="38" t="n">
        <x:v>34.87271694</x:v>
      </x:c>
      <x:c r="G8" s="38" t="n">
        <x:v>-92.22918117</x:v>
      </x:c>
      <x:c r="H8" s="38" t="n">
        <x:v>34.82041424</x:v>
      </x:c>
      <x:c r="I8" s="38" t="n">
        <x:v>-92.2329764</x:v>
      </x:c>
      <x:c r="J8" s="37" t="n">
        <x:f>(C8-B8)*1440</x:f>
        <x:v>114.46666666539386</x:v>
      </x:c>
      <x:c r="K8" s="40" t="n">
        <x:f>ACOS(MIN(1,MAX(-1,SIN(RADIANS(F8))*SIN(RADIANS(H8))+COS(RADIANS(F8))*COS(RADIANS(H8))*COS(RADIANS(I8-G8)))))*3958.8</x:f>
        <x:v>3.620209926278151</x:v>
      </x:c>
      <x:c r="L8" t="str">
        <x:f>IF(J8&lt;=20,"Close",IF(J8&lt;=90,"Possible","Separated"))</x:f>
        <x:v>Separated</x:v>
      </x:c>
      <x:c r="M8" t="str">
        <x:f>IF(L8="Close","Close chronological sequence",IF(L8="Possible","Possible same outing; intervening stop or unobserved travel possible","Time-separated same-day sightings; not treated as a continuous route"))</x:f>
        <x:v>Time-separated same-day sightings; not treated as a continuous route</x:v>
      </x:c>
    </x:row>
    <x:row r="9">
      <x:c r="A9" s="35" t="n">
        <x:v>46178.5</x:v>
      </x:c>
      <x:c r="B9" s="41" t="n">
        <x:v>46178.850381944445</x:v>
      </x:c>
      <x:c r="C9" s="41" t="n">
        <x:v>46178.87966435185</x:v>
      </x:c>
      <x:c r="D9" t="str">
        <x:v>C05</x:v>
      </x:c>
      <x:c r="E9" t="str">
        <x:v>C03</x:v>
      </x:c>
      <x:c r="F9" s="38" t="n">
        <x:v>34.82041424</x:v>
      </x:c>
      <x:c r="G9" s="38" t="n">
        <x:v>-92.2329764</x:v>
      </x:c>
      <x:c r="H9" s="38" t="n">
        <x:v>34.8217311</x:v>
      </x:c>
      <x:c r="I9" s="38" t="n">
        <x:v>-92.2313695</x:v>
      </x:c>
      <x:c r="J9" s="37" t="n">
        <x:f>(C9-B9)*1440</x:f>
        <x:v>42.16666666441597</x:v>
      </x:c>
      <x:c r="K9" s="40" t="n">
        <x:f>ACOS(MIN(1,MAX(-1,SIN(RADIANS(F9))*SIN(RADIANS(H9))+COS(RADIANS(F9))*COS(RADIANS(H9))*COS(RADIANS(I9-G9)))))*3958.8</x:f>
        <x:v>0.1287881787096219</x:v>
      </x:c>
      <x:c r="L9" t="str">
        <x:f>IF(J9&lt;=20,"Close",IF(J9&lt;=90,"Possible","Separated"))</x:f>
        <x:v>Possible</x:v>
      </x:c>
      <x:c r="M9" t="str">
        <x:f>IF(L9="Close","Close chronological sequence",IF(L9="Possible","Possible same outing; intervening stop or unobserved travel possible","Time-separated same-day sightings; not treated as a continuous route"))</x:f>
        <x:v>Possible same outing; intervening stop or unobserved travel possible</x:v>
      </x:c>
    </x:row>
    <x:row r="10">
      <x:c r="A10" s="35" t="n">
        <x:v>46178.5</x:v>
      </x:c>
      <x:c r="B10" s="41" t="n">
        <x:v>46178.87966435185</x:v>
      </x:c>
      <x:c r="C10" s="41" t="n">
        <x:v>46178.887650462966</x:v>
      </x:c>
      <x:c r="D10" t="str">
        <x:v>C03</x:v>
      </x:c>
      <x:c r="E10" t="str">
        <x:v>C04</x:v>
      </x:c>
      <x:c r="F10" s="38" t="n">
        <x:v>34.8217311</x:v>
      </x:c>
      <x:c r="G10" s="38" t="n">
        <x:v>-92.2313695</x:v>
      </x:c>
      <x:c r="H10" s="38" t="n">
        <x:v>34.87271694</x:v>
      </x:c>
      <x:c r="I10" s="38" t="n">
        <x:v>-92.22918117</x:v>
      </x:c>
      <x:c r="J10" s="37" t="n">
        <x:f>(C10-B10)*1440</x:f>
        <x:v>11.500000006053597</x:v>
      </x:c>
      <x:c r="K10" s="40" t="n">
        <x:f>ACOS(MIN(1,MAX(-1,SIN(RADIANS(F10))*SIN(RADIANS(H10))+COS(RADIANS(F10))*COS(RADIANS(H10))*COS(RADIANS(I10-G10)))))*3958.8</x:f>
        <x:v>3.525005176961056</x:v>
      </x:c>
      <x:c r="L10" t="str">
        <x:f>IF(J10&lt;=20,"Close",IF(J10&lt;=90,"Possible","Separated"))</x:f>
        <x:v>Close</x:v>
      </x:c>
      <x:c r="M10" t="str">
        <x:f>IF(L10="Close","Close chronological sequence",IF(L10="Possible","Possible same outing; intervening stop or unobserved travel possible","Time-separated same-day sightings; not treated as a continuous route"))</x:f>
        <x:v>Close chronological sequence</x:v>
      </x:c>
    </x:row>
    <x:row r="11">
      <x:c r="A11" s="35" t="n">
        <x:v>46179.5</x:v>
      </x:c>
      <x:c r="B11" s="41" t="n">
        <x:v>46179.60634259259</x:v>
      </x:c>
      <x:c r="C11" s="41" t="n">
        <x:v>46179.815092592595</x:v>
      </x:c>
      <x:c r="D11" t="str">
        <x:v>C04</x:v>
      </x:c>
      <x:c r="E11" t="str">
        <x:v>C05</x:v>
      </x:c>
      <x:c r="F11" s="38" t="n">
        <x:v>34.87271694</x:v>
      </x:c>
      <x:c r="G11" s="38" t="n">
        <x:v>-92.22918117</x:v>
      </x:c>
      <x:c r="H11" s="38" t="n">
        <x:v>34.82041424</x:v>
      </x:c>
      <x:c r="I11" s="38" t="n">
        <x:v>-92.2329764</x:v>
      </x:c>
      <x:c r="J11" s="37" t="n">
        <x:f>(C11-B11)*1440</x:f>
        <x:v>300.6000000075437</x:v>
      </x:c>
      <x:c r="K11" s="40" t="n">
        <x:f>ACOS(MIN(1,MAX(-1,SIN(RADIANS(F11))*SIN(RADIANS(H11))+COS(RADIANS(F11))*COS(RADIANS(H11))*COS(RADIANS(I11-G11)))))*3958.8</x:f>
        <x:v>3.620209926278151</x:v>
      </x:c>
      <x:c r="L11" t="str">
        <x:f>IF(J11&lt;=20,"Close",IF(J11&lt;=90,"Possible","Separated"))</x:f>
        <x:v>Separated</x:v>
      </x:c>
      <x:c r="M11" t="str">
        <x:f>IF(L11="Close","Close chronological sequence",IF(L11="Possible","Possible same outing; intervening stop or unobserved travel possible","Time-separated same-day sightings; not treated as a continuous route"))</x:f>
        <x:v>Time-separated same-day sightings; not treated as a continuous route</x:v>
      </x:c>
    </x:row>
    <x:row r="12">
      <x:c r="A12" s="35" t="n">
        <x:v>46179.5</x:v>
      </x:c>
      <x:c r="B12" s="41" t="n">
        <x:v>46179.815092592595</x:v>
      </x:c>
      <x:c r="C12" s="41" t="n">
        <x:v>46179.88061342593</x:v>
      </x:c>
      <x:c r="D12" t="str">
        <x:v>C05</x:v>
      </x:c>
      <x:c r="E12" t="str">
        <x:v>C03</x:v>
      </x:c>
      <x:c r="F12" s="38" t="n">
        <x:v>34.82041424</x:v>
      </x:c>
      <x:c r="G12" s="38" t="n">
        <x:v>-92.2329764</x:v>
      </x:c>
      <x:c r="H12" s="38" t="n">
        <x:v>34.8217311</x:v>
      </x:c>
      <x:c r="I12" s="38" t="n">
        <x:v>-92.2313695</x:v>
      </x:c>
      <x:c r="J12" s="37" t="n">
        <x:f>(C12-B12)*1440</x:f>
        <x:v>94.3500000005588</x:v>
      </x:c>
      <x:c r="K12" s="40" t="n">
        <x:f>ACOS(MIN(1,MAX(-1,SIN(RADIANS(F12))*SIN(RADIANS(H12))+COS(RADIANS(F12))*COS(RADIANS(H12))*COS(RADIANS(I12-G12)))))*3958.8</x:f>
        <x:v>0.1287881787096219</x:v>
      </x:c>
      <x:c r="L12" t="str">
        <x:f>IF(J12&lt;=20,"Close",IF(J12&lt;=90,"Possible","Separated"))</x:f>
        <x:v>Separated</x:v>
      </x:c>
      <x:c r="M12" t="str">
        <x:f>IF(L12="Close","Close chronological sequence",IF(L12="Possible","Possible same outing; intervening stop or unobserved travel possible","Time-separated same-day sightings; not treated as a continuous route"))</x:f>
        <x:v>Time-separated same-day sightings; not treated as a continuous route</x:v>
      </x:c>
    </x:row>
    <x:row r="13">
      <x:c r="A13" s="35" t="n">
        <x:v>46179.5</x:v>
      </x:c>
      <x:c r="B13" s="41" t="n">
        <x:v>46179.88061342593</x:v>
      </x:c>
      <x:c r="C13" s="41" t="n">
        <x:v>46179.88543981482</x:v>
      </x:c>
      <x:c r="D13" t="str">
        <x:v>C03</x:v>
      </x:c>
      <x:c r="E13" t="str">
        <x:v>C04</x:v>
      </x:c>
      <x:c r="F13" s="38" t="n">
        <x:v>34.8217311</x:v>
      </x:c>
      <x:c r="G13" s="38" t="n">
        <x:v>-92.2313695</x:v>
      </x:c>
      <x:c r="H13" s="38" t="n">
        <x:v>34.87271694</x:v>
      </x:c>
      <x:c r="I13" s="38" t="n">
        <x:v>-92.22918117</x:v>
      </x:c>
      <x:c r="J13" s="37" t="n">
        <x:f>(C13-B13)*1440</x:f>
        <x:v>6.950000000651926</x:v>
      </x:c>
      <x:c r="K13" s="40" t="n">
        <x:f>ACOS(MIN(1,MAX(-1,SIN(RADIANS(F13))*SIN(RADIANS(H13))+COS(RADIANS(F13))*COS(RADIANS(H13))*COS(RADIANS(I13-G13)))))*3958.8</x:f>
        <x:v>3.525005176961056</x:v>
      </x:c>
      <x:c r="L13" t="str">
        <x:f>IF(J13&lt;=20,"Close",IF(J13&lt;=90,"Possible","Separated"))</x:f>
        <x:v>Close</x:v>
      </x:c>
      <x:c r="M13" t="str">
        <x:f>IF(L13="Close","Close chronological sequence",IF(L13="Possible","Possible same outing; intervening stop or unobserved travel possible","Time-separated same-day sightings; not treated as a continuous route"))</x:f>
        <x:v>Close chronological sequence</x:v>
      </x:c>
    </x:row>
    <x:row r="14">
      <x:c r="A14" s="35" t="n">
        <x:v>46180.5</x:v>
      </x:c>
      <x:c r="B14" s="41" t="n">
        <x:v>46180.614432870374</x:v>
      </x:c>
      <x:c r="C14" s="41" t="n">
        <x:v>46180.6162962963</x:v>
      </x:c>
      <x:c r="D14" t="str">
        <x:v>C01</x:v>
      </x:c>
      <x:c r="E14" t="str">
        <x:v>C02</x:v>
      </x:c>
      <x:c r="F14" s="38" t="n">
        <x:v>34.82712949</x:v>
      </x:c>
      <x:c r="G14" s="38" t="n">
        <x:v>-92.19130226</x:v>
      </x:c>
      <x:c r="H14" s="38" t="n">
        <x:v>34.81258891</x:v>
      </x:c>
      <x:c r="I14" s="38" t="n">
        <x:v>-92.20502351</x:v>
      </x:c>
      <x:c r="J14" s="37" t="n">
        <x:f>(C14-B14)*1440</x:f>
        <x:v>2.6833333319518715</x:v>
      </x:c>
      <x:c r="K14" s="40" t="n">
        <x:f>ACOS(MIN(1,MAX(-1,SIN(RADIANS(F14))*SIN(RADIANS(H14))+COS(RADIANS(F14))*COS(RADIANS(H14))*COS(RADIANS(I14-G14)))))*3958.8</x:f>
        <x:v>1.270874905247472</x:v>
      </x:c>
      <x:c r="L14" t="str">
        <x:f>IF(J14&lt;=20,"Close",IF(J14&lt;=90,"Possible","Separated"))</x:f>
        <x:v>Close</x:v>
      </x:c>
      <x:c r="M14" t="str">
        <x:f>IF(L14="Close","Close chronological sequence",IF(L14="Possible","Possible same outing; intervening stop or unobserved travel possible","Time-separated same-day sightings; not treated as a continuous route"))</x:f>
        <x:v>Close chronological sequence</x:v>
      </x:c>
    </x:row>
    <x:row r="15">
      <x:c r="A15" s="35" t="n">
        <x:v>46180.5</x:v>
      </x:c>
      <x:c r="B15" s="41" t="n">
        <x:v>46180.6162962963</x:v>
      </x:c>
      <x:c r="C15" s="41" t="n">
        <x:v>46180.61734953704</x:v>
      </x:c>
      <x:c r="D15" t="str">
        <x:v>C02</x:v>
      </x:c>
      <x:c r="E15" t="str">
        <x:v>C07</x:v>
      </x:c>
      <x:c r="F15" s="38" t="n">
        <x:v>34.81258891</x:v>
      </x:c>
      <x:c r="G15" s="38" t="n">
        <x:v>-92.20502351</x:v>
      </x:c>
      <x:c r="H15" s="38" t="n">
        <x:v>34.80420882</x:v>
      </x:c>
      <x:c r="I15" s="38" t="n">
        <x:v>-92.21140889</x:v>
      </x:c>
      <x:c r="J15" s="37" t="n">
        <x:f>(C15-B15)*1440</x:f>
        <x:v>1.516666664974764</x:v>
      </x:c>
      <x:c r="K15" s="40" t="n">
        <x:f>ACOS(MIN(1,MAX(-1,SIN(RADIANS(F15))*SIN(RADIANS(H15))+COS(RADIANS(F15))*COS(RADIANS(H15))*COS(RADIANS(I15-G15)))))*3958.8</x:f>
        <x:v>0.682994414514801</x:v>
      </x:c>
      <x:c r="L15" t="str">
        <x:f>IF(J15&lt;=20,"Close",IF(J15&lt;=90,"Possible","Separated"))</x:f>
        <x:v>Close</x:v>
      </x:c>
      <x:c r="M15" t="str">
        <x:f>IF(L15="Close","Close chronological sequence",IF(L15="Possible","Possible same outing; intervening stop or unobserved travel possible","Time-separated same-day sightings; not treated as a continuous route"))</x:f>
        <x:v>Close chronological sequence</x:v>
      </x:c>
    </x:row>
    <x:row r="16">
      <x:c r="A16" s="35" t="n">
        <x:v>46180.5</x:v>
      </x:c>
      <x:c r="B16" s="41" t="n">
        <x:v>46180.61734953704</x:v>
      </x:c>
      <x:c r="C16" s="41" t="n">
        <x:v>46180.64268518519</x:v>
      </x:c>
      <x:c r="D16" t="str">
        <x:v>C07</x:v>
      </x:c>
      <x:c r="E16" t="str">
        <x:v>C06</x:v>
      </x:c>
      <x:c r="F16" s="38" t="n">
        <x:v>34.80420882</x:v>
      </x:c>
      <x:c r="G16" s="38" t="n">
        <x:v>-92.21140889</x:v>
      </x:c>
      <x:c r="H16" s="38" t="n">
        <x:v>34.82933191</x:v>
      </x:c>
      <x:c r="I16" s="38" t="n">
        <x:v>-92.1910489</x:v>
      </x:c>
      <x:c r="J16" s="37" t="n">
        <x:f>(C16-B16)*1440</x:f>
        <x:v>36.48333333316259</x:v>
      </x:c>
      <x:c r="K16" s="40" t="n">
        <x:f>ACOS(MIN(1,MAX(-1,SIN(RADIANS(F16))*SIN(RADIANS(H16))+COS(RADIANS(F16))*COS(RADIANS(H16))*COS(RADIANS(I16-G16)))))*3958.8</x:f>
        <x:v>2.0849561098868556</x:v>
      </x:c>
      <x:c r="L16" t="str">
        <x:f>IF(J16&lt;=20,"Close",IF(J16&lt;=90,"Possible","Separated"))</x:f>
        <x:v>Possible</x:v>
      </x:c>
      <x:c r="M16" t="str">
        <x:f>IF(L16="Close","Close chronological sequence",IF(L16="Possible","Possible same outing; intervening stop or unobserved travel possible","Time-separated same-day sightings; not treated as a continuous route"))</x:f>
        <x:v>Possible same outing; intervening stop or unobserved travel possible</x:v>
      </x:c>
    </x:row>
    <x:row r="17">
      <x:c r="A17" s="35" t="n">
        <x:v>46180.5</x:v>
      </x:c>
      <x:c r="B17" s="41" t="n">
        <x:v>46180.64268518519</x:v>
      </x:c>
      <x:c r="C17" s="41" t="n">
        <x:v>46180.70767361111</x:v>
      </x:c>
      <x:c r="D17" t="str">
        <x:v>C06</x:v>
      </x:c>
      <x:c r="E17" t="str">
        <x:v>C05</x:v>
      </x:c>
      <x:c r="F17" s="38" t="n">
        <x:v>34.82933191</x:v>
      </x:c>
      <x:c r="G17" s="38" t="n">
        <x:v>-92.1910489</x:v>
      </x:c>
      <x:c r="H17" s="38" t="n">
        <x:v>34.82041424</x:v>
      </x:c>
      <x:c r="I17" s="38" t="n">
        <x:v>-92.2329764</x:v>
      </x:c>
      <x:c r="J17" s="37" t="n">
        <x:f>(C17-B17)*1440</x:f>
        <x:v>93.58333333279006</x:v>
      </x:c>
      <x:c r="K17" s="40" t="n">
        <x:f>ACOS(MIN(1,MAX(-1,SIN(RADIANS(F17))*SIN(RADIANS(H17))+COS(RADIANS(F17))*COS(RADIANS(H17))*COS(RADIANS(I17-G17)))))*3958.8</x:f>
        <x:v>2.456629921622232</x:v>
      </x:c>
      <x:c r="L17" t="str">
        <x:f>IF(J17&lt;=20,"Close",IF(J17&lt;=90,"Possible","Separated"))</x:f>
        <x:v>Separated</x:v>
      </x:c>
      <x:c r="M17" t="str">
        <x:f>IF(L17="Close","Close chronological sequence",IF(L17="Possible","Possible same outing; intervening stop or unobserved travel possible","Time-separated same-day sightings; not treated as a continuous route"))</x:f>
        <x:v>Time-separated same-day sightings; not treated as a continuous route</x:v>
      </x:c>
    </x:row>
    <x:row r="18">
      <x:c r="A18" s="35" t="n">
        <x:v>46180.5</x:v>
      </x:c>
      <x:c r="B18" s="41" t="n">
        <x:v>46180.70767361111</x:v>
      </x:c>
      <x:c r="C18" s="41" t="n">
        <x:v>46180.790625</x:v>
      </x:c>
      <x:c r="D18" t="str">
        <x:v>C05</x:v>
      </x:c>
      <x:c r="E18" t="str">
        <x:v>C03</x:v>
      </x:c>
      <x:c r="F18" s="38" t="n">
        <x:v>34.82041424</x:v>
      </x:c>
      <x:c r="G18" s="38" t="n">
        <x:v>-92.2329764</x:v>
      </x:c>
      <x:c r="H18" s="38" t="n">
        <x:v>34.8217311</x:v>
      </x:c>
      <x:c r="I18" s="38" t="n">
        <x:v>-92.2313695</x:v>
      </x:c>
      <x:c r="J18" s="37" t="n">
        <x:f>(C18-B18)*1440</x:f>
        <x:v>119.45000000065193</x:v>
      </x:c>
      <x:c r="K18" s="40" t="n">
        <x:f>ACOS(MIN(1,MAX(-1,SIN(RADIANS(F18))*SIN(RADIANS(H18))+COS(RADIANS(F18))*COS(RADIANS(H18))*COS(RADIANS(I18-G18)))))*3958.8</x:f>
        <x:v>0.1287881787096219</x:v>
      </x:c>
      <x:c r="L18" t="str">
        <x:f>IF(J18&lt;=20,"Close",IF(J18&lt;=90,"Possible","Separated"))</x:f>
        <x:v>Separated</x:v>
      </x:c>
      <x:c r="M18" t="str">
        <x:f>IF(L18="Close","Close chronological sequence",IF(L18="Possible","Possible same outing; intervening stop or unobserved travel possible","Time-separated same-day sightings; not treated as a continuous route"))</x:f>
        <x:v>Time-separated same-day sightings; not treated as a continuous route</x:v>
      </x:c>
    </x:row>
    <x:row r="19">
      <x:c r="A19" s="35" t="n">
        <x:v>46180.5</x:v>
      </x:c>
      <x:c r="B19" s="41" t="n">
        <x:v>46180.790625</x:v>
      </x:c>
      <x:c r="C19" s="41" t="n">
        <x:v>46180.79488425926</x:v>
      </x:c>
      <x:c r="D19" t="str">
        <x:v>C03</x:v>
      </x:c>
      <x:c r="E19" t="str">
        <x:v>C04</x:v>
      </x:c>
      <x:c r="F19" s="38" t="n">
        <x:v>34.8217311</x:v>
      </x:c>
      <x:c r="G19" s="38" t="n">
        <x:v>-92.2313695</x:v>
      </x:c>
      <x:c r="H19" s="38" t="n">
        <x:v>34.87271694</x:v>
      </x:c>
      <x:c r="I19" s="38" t="n">
        <x:v>-92.22918117</x:v>
      </x:c>
      <x:c r="J19" s="37" t="n">
        <x:f>(C19-B19)*1440</x:f>
        <x:v>6.133333331672475</x:v>
      </x:c>
      <x:c r="K19" s="40" t="n">
        <x:f>ACOS(MIN(1,MAX(-1,SIN(RADIANS(F19))*SIN(RADIANS(H19))+COS(RADIANS(F19))*COS(RADIANS(H19))*COS(RADIANS(I19-G19)))))*3958.8</x:f>
        <x:v>3.525005176961056</x:v>
      </x:c>
      <x:c r="L19" t="str">
        <x:f>IF(J19&lt;=20,"Close",IF(J19&lt;=90,"Possible","Separated"))</x:f>
        <x:v>Close</x:v>
      </x:c>
      <x:c r="M19" t="str">
        <x:f>IF(L19="Close","Close chronological sequence",IF(L19="Possible","Possible same outing; intervening stop or unobserved travel possible","Time-separated same-day sightings; not treated as a continuous route"))</x:f>
        <x:v>Close chronological sequence</x:v>
      </x:c>
    </x:row>
    <x:row r="20">
      <x:c r="A20" s="35" t="n">
        <x:v>46181.5</x:v>
      </x:c>
      <x:c r="B20" s="41" t="n">
        <x:v>46181.92097222222</x:v>
      </x:c>
      <x:c r="C20" s="41" t="n">
        <x:v>46181.926574074074</x:v>
      </x:c>
      <x:c r="D20" t="str">
        <x:v>C03</x:v>
      </x:c>
      <x:c r="E20" t="str">
        <x:v>C04</x:v>
      </x:c>
      <x:c r="F20" s="38" t="n">
        <x:v>34.8217311</x:v>
      </x:c>
      <x:c r="G20" s="38" t="n">
        <x:v>-92.2313695</x:v>
      </x:c>
      <x:c r="H20" s="38" t="n">
        <x:v>34.87271694</x:v>
      </x:c>
      <x:c r="I20" s="38" t="n">
        <x:v>-92.22918117</x:v>
      </x:c>
      <x:c r="J20" s="37" t="n">
        <x:f>(C20-B20)*1440</x:f>
        <x:v>8.066666666418314</x:v>
      </x:c>
      <x:c r="K20" s="40" t="n">
        <x:f>ACOS(MIN(1,MAX(-1,SIN(RADIANS(F20))*SIN(RADIANS(H20))+COS(RADIANS(F20))*COS(RADIANS(H20))*COS(RADIANS(I20-G20)))))*3958.8</x:f>
        <x:v>3.525005176961056</x:v>
      </x:c>
      <x:c r="L20" t="str">
        <x:f>IF(J20&lt;=20,"Close",IF(J20&lt;=90,"Possible","Separated"))</x:f>
        <x:v>Close</x:v>
      </x:c>
      <x:c r="M20" t="str">
        <x:f>IF(L20="Close","Close chronological sequence",IF(L20="Possible","Possible same outing; intervening stop or unobserved travel possible","Time-separated same-day sightings; not treated as a continuous route"))</x:f>
        <x:v>Close chronological sequence</x:v>
      </x:c>
    </x:row>
    <x:row r="21">
      <x:c r="A21" s="35" t="n">
        <x:v>46186.5</x:v>
      </x:c>
      <x:c r="B21" s="41" t="n">
        <x:v>46186.58677083333</x:v>
      </x:c>
      <x:c r="C21" s="41" t="n">
        <x:v>46186.600266203706</x:v>
      </x:c>
      <x:c r="D21" t="str">
        <x:v>C03</x:v>
      </x:c>
      <x:c r="E21" t="str">
        <x:v>C04</x:v>
      </x:c>
      <x:c r="F21" s="38" t="n">
        <x:v>34.8217311</x:v>
      </x:c>
      <x:c r="G21" s="38" t="n">
        <x:v>-92.2313695</x:v>
      </x:c>
      <x:c r="H21" s="38" t="n">
        <x:v>34.87271694</x:v>
      </x:c>
      <x:c r="I21" s="38" t="n">
        <x:v>-92.22918117</x:v>
      </x:c>
      <x:c r="J21" s="37" t="n">
        <x:f>(C21-B21)*1440</x:f>
        <x:v>19.433333339402452</x:v>
      </x:c>
      <x:c r="K21" s="40" t="n">
        <x:f>ACOS(MIN(1,MAX(-1,SIN(RADIANS(F21))*SIN(RADIANS(H21))+COS(RADIANS(F21))*COS(RADIANS(H21))*COS(RADIANS(I21-G21)))))*3958.8</x:f>
        <x:v>3.525005176961056</x:v>
      </x:c>
      <x:c r="L21" t="str">
        <x:f>IF(J21&lt;=20,"Close",IF(J21&lt;=90,"Possible","Separated"))</x:f>
        <x:v>Close</x:v>
      </x:c>
      <x:c r="M21" t="str">
        <x:f>IF(L21="Close","Close chronological sequence",IF(L21="Possible","Possible same outing; intervening stop or unobserved travel possible","Time-separated same-day sightings; not treated as a continuous route"))</x:f>
        <x:v>Close chronological sequence</x:v>
      </x:c>
    </x:row>
    <x:row r="22">
      <x:c r="A22" s="35" t="n">
        <x:v>46186.5</x:v>
      </x:c>
      <x:c r="B22" s="41" t="n">
        <x:v>46186.600266203706</x:v>
      </x:c>
      <x:c r="C22" s="41" t="n">
        <x:v>46186.85302083333</x:v>
      </x:c>
      <x:c r="D22" t="str">
        <x:v>C04</x:v>
      </x:c>
      <x:c r="E22" t="str">
        <x:v>C08</x:v>
      </x:c>
      <x:c r="F22" s="38" t="n">
        <x:v>34.87271694</x:v>
      </x:c>
      <x:c r="G22" s="38" t="n">
        <x:v>-92.22918117</x:v>
      </x:c>
      <x:c r="H22" s="38" t="n">
        <x:v>34.86934534</x:v>
      </x:c>
      <x:c r="I22" s="38" t="n">
        <x:v>-92.17135008</x:v>
      </x:c>
      <x:c r="J22" s="37" t="n">
        <x:f>(C22-B22)*1440</x:f>
        <x:v>363.96666666143574</x:v>
      </x:c>
      <x:c r="K22" s="40" t="n">
        <x:f>ACOS(MIN(1,MAX(-1,SIN(RADIANS(F22))*SIN(RADIANS(H22))+COS(RADIANS(F22))*COS(RADIANS(H22))*COS(RADIANS(I22-G22)))))*3958.8</x:f>
        <x:v>3.2865740646345962</x:v>
      </x:c>
      <x:c r="L22" t="str">
        <x:f>IF(J22&lt;=20,"Close",IF(J22&lt;=90,"Possible","Separated"))</x:f>
        <x:v>Separated</x:v>
      </x:c>
      <x:c r="M22" t="str">
        <x:f>IF(L22="Close","Close chronological sequence",IF(L22="Possible","Possible same outing; intervening stop or unobserved travel possible","Time-separated same-day sightings; not treated as a continuous route"))</x:f>
        <x:v>Time-separated same-day sightings; not treated as a continuous route</x:v>
      </x:c>
    </x:row>
    <x:row r="23">
      <x:c r="A23" s="35" t="n">
        <x:v>46186.5</x:v>
      </x:c>
      <x:c r="B23" s="41" t="n">
        <x:v>46186.85302083333</x:v>
      </x:c>
      <x:c r="C23" s="41" t="n">
        <x:v>46186.90293981481</x:v>
      </x:c>
      <x:c r="D23" t="str">
        <x:v>C08</x:v>
      </x:c>
      <x:c r="E23" t="str">
        <x:v>C03</x:v>
      </x:c>
      <x:c r="F23" s="38" t="n">
        <x:v>34.86934534</x:v>
      </x:c>
      <x:c r="G23" s="38" t="n">
        <x:v>-92.17135008</x:v>
      </x:c>
      <x:c r="H23" s="38" t="n">
        <x:v>34.8217311</x:v>
      </x:c>
      <x:c r="I23" s="38" t="n">
        <x:v>-92.2313695</x:v>
      </x:c>
      <x:c r="J23" s="37" t="n">
        <x:f>(C23-B23)*1440</x:f>
        <x:v>71.88333333120681</x:v>
      </x:c>
      <x:c r="K23" s="40" t="n">
        <x:f>ACOS(MIN(1,MAX(-1,SIN(RADIANS(F23))*SIN(RADIANS(H23))+COS(RADIANS(F23))*COS(RADIANS(H23))*COS(RADIANS(I23-G23)))))*3958.8</x:f>
        <x:v>4.7335417600060445</x:v>
      </x:c>
      <x:c r="L23" t="str">
        <x:f>IF(J23&lt;=20,"Close",IF(J23&lt;=90,"Possible","Separated"))</x:f>
        <x:v>Possible</x:v>
      </x:c>
      <x:c r="M23" t="str">
        <x:f>IF(L23="Close","Close chronological sequence",IF(L23="Possible","Possible same outing; intervening stop or unobserved travel possible","Time-separated same-day sightings; not treated as a continuous route"))</x:f>
        <x:v>Possible same outing; intervening stop or unobserved travel possible</x:v>
      </x:c>
    </x:row>
    <x:row r="24">
      <x:c r="A24" s="35" t="n">
        <x:v>46186.5</x:v>
      </x:c>
      <x:c r="B24" s="41" t="n">
        <x:v>46186.90293981481</x:v>
      </x:c>
      <x:c r="C24" s="41" t="n">
        <x:v>46186.90756944445</x:v>
      </x:c>
      <x:c r="D24" t="str">
        <x:v>C03</x:v>
      </x:c>
      <x:c r="E24" t="str">
        <x:v>C04</x:v>
      </x:c>
      <x:c r="F24" s="38" t="n">
        <x:v>34.8217311</x:v>
      </x:c>
      <x:c r="G24" s="38" t="n">
        <x:v>-92.2313695</x:v>
      </x:c>
      <x:c r="H24" s="38" t="n">
        <x:v>34.87271694</x:v>
      </x:c>
      <x:c r="I24" s="38" t="n">
        <x:v>-92.22918117</x:v>
      </x:c>
      <x:c r="J24" s="37" t="n">
        <x:f>(C24-B24)*1440</x:f>
        <x:v>6.666666674427688</x:v>
      </x:c>
      <x:c r="K24" s="40" t="n">
        <x:f>ACOS(MIN(1,MAX(-1,SIN(RADIANS(F24))*SIN(RADIANS(H24))+COS(RADIANS(F24))*COS(RADIANS(H24))*COS(RADIANS(I24-G24)))))*3958.8</x:f>
        <x:v>3.525005176961056</x:v>
      </x:c>
      <x:c r="L24" t="str">
        <x:f>IF(J24&lt;=20,"Close",IF(J24&lt;=90,"Possible","Separated"))</x:f>
        <x:v>Close</x:v>
      </x:c>
      <x:c r="M24" t="str">
        <x:f>IF(L24="Close","Close chronological sequence",IF(L24="Possible","Possible same outing; intervening stop or unobserved travel possible","Time-separated same-day sightings; not treated as a continuous route"))</x:f>
        <x:v>Close chronological sequence</x:v>
      </x:c>
    </x:row>
    <x:row r="25">
      <x:c r="A25" s="35" t="n">
        <x:v>46187.5</x:v>
      </x:c>
      <x:c r="B25" s="41" t="n">
        <x:v>46187.653275462966</x:v>
      </x:c>
      <x:c r="C25" s="41" t="n">
        <x:v>46187.68284722222</x:v>
      </x:c>
      <x:c r="D25" t="str">
        <x:v>C01</x:v>
      </x:c>
      <x:c r="E25" t="str">
        <x:v>C06</x:v>
      </x:c>
      <x:c r="F25" s="38" t="n">
        <x:v>34.82712949</x:v>
      </x:c>
      <x:c r="G25" s="38" t="n">
        <x:v>-92.19130226</x:v>
      </x:c>
      <x:c r="H25" s="38" t="n">
        <x:v>34.82933191</x:v>
      </x:c>
      <x:c r="I25" s="38" t="n">
        <x:v>-92.1910489</x:v>
      </x:c>
      <x:c r="J25" s="37" t="n">
        <x:f>(C25-B25)*1440</x:f>
        <x:v>42.58333332370967</x:v>
      </x:c>
      <x:c r="K25" s="40" t="n">
        <x:f>ACOS(MIN(1,MAX(-1,SIN(RADIANS(F25))*SIN(RADIANS(H25))+COS(RADIANS(F25))*COS(RADIANS(H25))*COS(RADIANS(I25-G25)))))*3958.8</x:f>
        <x:v>0.15285117438356452</x:v>
      </x:c>
      <x:c r="L25" t="str">
        <x:f>IF(J25&lt;=20,"Close",IF(J25&lt;=90,"Possible","Separated"))</x:f>
        <x:v>Possible</x:v>
      </x:c>
      <x:c r="M25" t="str">
        <x:f>IF(L25="Close","Close chronological sequence",IF(L25="Possible","Possible same outing; intervening stop or unobserved travel possible","Time-separated same-day sightings; not treated as a continuous route"))</x:f>
        <x:v>Possible same outing; intervening stop or unobserved travel possible</x:v>
      </x:c>
    </x:row>
    <x:row r="26">
      <x:c r="A26" s="35" t="n">
        <x:v>46187.5</x:v>
      </x:c>
      <x:c r="B26" s="41" t="n">
        <x:v>46187.68284722222</x:v>
      </x:c>
      <x:c r="C26" s="41" t="n">
        <x:v>46187.68829861111</x:v>
      </x:c>
      <x:c r="D26" t="str">
        <x:v>C06</x:v>
      </x:c>
      <x:c r="E26" t="str">
        <x:v>C04</x:v>
      </x:c>
      <x:c r="F26" s="38" t="n">
        <x:v>34.82933191</x:v>
      </x:c>
      <x:c r="G26" s="38" t="n">
        <x:v>-92.1910489</x:v>
      </x:c>
      <x:c r="H26" s="38" t="n">
        <x:v>34.87271694</x:v>
      </x:c>
      <x:c r="I26" s="38" t="n">
        <x:v>-92.22918117</x:v>
      </x:c>
      <x:c r="J26" s="37" t="n">
        <x:f>(C26-B26)*1440</x:f>
        <x:v>7.850000001490116</x:v>
      </x:c>
      <x:c r="K26" s="40" t="n">
        <x:f>ACOS(MIN(1,MAX(-1,SIN(RADIANS(F26))*SIN(RADIANS(H26))+COS(RADIANS(F26))*COS(RADIANS(H26))*COS(RADIANS(I26-G26)))))*3958.8</x:f>
        <x:v>3.6960533899666377</x:v>
      </x:c>
      <x:c r="L26" t="str">
        <x:f>IF(J26&lt;=20,"Close",IF(J26&lt;=90,"Possible","Separated"))</x:f>
        <x:v>Close</x:v>
      </x:c>
      <x:c r="M26" t="str">
        <x:f>IF(L26="Close","Close chronological sequence",IF(L26="Possible","Possible same outing; intervening stop or unobserved travel possible","Time-separated same-day sightings; not treated as a continuous route"))</x:f>
        <x:v>Close chronological sequence</x:v>
      </x:c>
    </x:row>
    <x:row r="27">
      <x:c r="A27" s="35" t="n">
        <x:v>46187.5</x:v>
      </x:c>
      <x:c r="B27" s="41" t="n">
        <x:v>46187.68829861111</x:v>
      </x:c>
      <x:c r="C27" s="41" t="n">
        <x:v>46187.80415509259</x:v>
      </x:c>
      <x:c r="D27" t="str">
        <x:v>C04</x:v>
      </x:c>
      <x:c r="E27" t="str">
        <x:v>C05</x:v>
      </x:c>
      <x:c r="F27" s="38" t="n">
        <x:v>34.87271694</x:v>
      </x:c>
      <x:c r="G27" s="38" t="n">
        <x:v>-92.22918117</x:v>
      </x:c>
      <x:c r="H27" s="38" t="n">
        <x:v>34.82041424</x:v>
      </x:c>
      <x:c r="I27" s="38" t="n">
        <x:v>-92.2329764</x:v>
      </x:c>
      <x:c r="J27" s="37" t="n">
        <x:f>(C27-B27)*1440</x:f>
        <x:v>166.83333333581686</x:v>
      </x:c>
      <x:c r="K27" s="40" t="n">
        <x:f>ACOS(MIN(1,MAX(-1,SIN(RADIANS(F27))*SIN(RADIANS(H27))+COS(RADIANS(F27))*COS(RADIANS(H27))*COS(RADIANS(I27-G27)))))*3958.8</x:f>
        <x:v>3.620209926278151</x:v>
      </x:c>
      <x:c r="L27" t="str">
        <x:f>IF(J27&lt;=20,"Close",IF(J27&lt;=90,"Possible","Separated"))</x:f>
        <x:v>Separated</x:v>
      </x:c>
      <x:c r="M27" t="str">
        <x:f>IF(L27="Close","Close chronological sequence",IF(L27="Possible","Possible same outing; intervening stop or unobserved travel possible","Time-separated same-day sightings; not treated as a continuous route"))</x:f>
        <x:v>Time-separated same-day sightings; not treated as a continuous route</x:v>
      </x:c>
    </x:row>
    <x:row r="28">
      <x:c r="A28" s="35" t="n">
        <x:v>46187.5</x:v>
      </x:c>
      <x:c r="B28" s="41" t="n">
        <x:v>46187.80415509259</x:v>
      </x:c>
      <x:c r="C28" s="41" t="n">
        <x:v>46187.866643518515</x:v>
      </x:c>
      <x:c r="D28" t="str">
        <x:v>C05</x:v>
      </x:c>
      <x:c r="E28" t="str">
        <x:v>C03</x:v>
      </x:c>
      <x:c r="F28" s="38" t="n">
        <x:v>34.82041424</x:v>
      </x:c>
      <x:c r="G28" s="38" t="n">
        <x:v>-92.2329764</x:v>
      </x:c>
      <x:c r="H28" s="38" t="n">
        <x:v>34.8217311</x:v>
      </x:c>
      <x:c r="I28" s="38" t="n">
        <x:v>-92.2313695</x:v>
      </x:c>
      <x:c r="J28" s="37" t="n">
        <x:f>(C28-B28)*1440</x:f>
        <x:v>89.9833333294373</x:v>
      </x:c>
      <x:c r="K28" s="40" t="n">
        <x:f>ACOS(MIN(1,MAX(-1,SIN(RADIANS(F28))*SIN(RADIANS(H28))+COS(RADIANS(F28))*COS(RADIANS(H28))*COS(RADIANS(I28-G28)))))*3958.8</x:f>
        <x:v>0.1287881787096219</x:v>
      </x:c>
      <x:c r="L28" t="str">
        <x:f>IF(J28&lt;=20,"Close",IF(J28&lt;=90,"Possible","Separated"))</x:f>
        <x:v>Possible</x:v>
      </x:c>
      <x:c r="M28" t="str">
        <x:f>IF(L28="Close","Close chronological sequence",IF(L28="Possible","Possible same outing; intervening stop or unobserved travel possible","Time-separated same-day sightings; not treated as a continuous route"))</x:f>
        <x:v>Possible same outing; intervening stop or unobserved travel possible</x:v>
      </x:c>
    </x:row>
    <x:row r="29">
      <x:c r="A29" s="35" t="n">
        <x:v>46187.5</x:v>
      </x:c>
      <x:c r="B29" s="41" t="n">
        <x:v>46187.866643518515</x:v>
      </x:c>
      <x:c r="C29" s="41" t="n">
        <x:v>46187.87180555556</x:v>
      </x:c>
      <x:c r="D29" t="str">
        <x:v>C03</x:v>
      </x:c>
      <x:c r="E29" t="str">
        <x:v>C04</x:v>
      </x:c>
      <x:c r="F29" s="38" t="n">
        <x:v>34.8217311</x:v>
      </x:c>
      <x:c r="G29" s="38" t="n">
        <x:v>-92.2313695</x:v>
      </x:c>
      <x:c r="H29" s="38" t="n">
        <x:v>34.87271694</x:v>
      </x:c>
      <x:c r="I29" s="38" t="n">
        <x:v>-92.22918117</x:v>
      </x:c>
      <x:c r="J29" s="37" t="n">
        <x:f>(C29-B29)*1440</x:f>
        <x:v>7.43333334219642</x:v>
      </x:c>
      <x:c r="K29" s="40" t="n">
        <x:f>ACOS(MIN(1,MAX(-1,SIN(RADIANS(F29))*SIN(RADIANS(H29))+COS(RADIANS(F29))*COS(RADIANS(H29))*COS(RADIANS(I29-G29)))))*3958.8</x:f>
        <x:v>3.525005176961056</x:v>
      </x:c>
      <x:c r="L29" t="str">
        <x:f>IF(J29&lt;=20,"Close",IF(J29&lt;=90,"Possible","Separated"))</x:f>
        <x:v>Close</x:v>
      </x:c>
      <x:c r="M29" t="str">
        <x:f>IF(L29="Close","Close chronological sequence",IF(L29="Possible","Possible same outing; intervening stop or unobserved travel possible","Time-separated same-day sightings; not treated as a continuous route"))</x:f>
        <x:v>Close chronological sequence</x:v>
      </x:c>
    </x:row>
    <x:row r="30">
      <x:c r="A30" s="35" t="n">
        <x:v>46189.5</x:v>
      </x:c>
      <x:c r="B30" s="41" t="n">
        <x:v>46189.853321759256</x:v>
      </x:c>
      <x:c r="C30" s="41" t="n">
        <x:v>46189.857881944445</x:v>
      </x:c>
      <x:c r="D30" t="str">
        <x:v>C03</x:v>
      </x:c>
      <x:c r="E30" t="str">
        <x:v>C04</x:v>
      </x:c>
      <x:c r="F30" s="38" t="n">
        <x:v>34.8217311</x:v>
      </x:c>
      <x:c r="G30" s="38" t="n">
        <x:v>-92.2313695</x:v>
      </x:c>
      <x:c r="H30" s="38" t="n">
        <x:v>34.87271694</x:v>
      </x:c>
      <x:c r="I30" s="38" t="n">
        <x:v>-92.22918117</x:v>
      </x:c>
      <x:c r="J30" s="37" t="n">
        <x:f>(C30-B30)*1440</x:f>
        <x:v>6.566666672006249</x:v>
      </x:c>
      <x:c r="K30" s="40" t="n">
        <x:f>ACOS(MIN(1,MAX(-1,SIN(RADIANS(F30))*SIN(RADIANS(H30))+COS(RADIANS(F30))*COS(RADIANS(H30))*COS(RADIANS(I30-G30)))))*3958.8</x:f>
        <x:v>3.525005176961056</x:v>
      </x:c>
      <x:c r="L30" t="str">
        <x:f>IF(J30&lt;=20,"Close",IF(J30&lt;=90,"Possible","Separated"))</x:f>
        <x:v>Close</x:v>
      </x:c>
      <x:c r="M30" t="str">
        <x:f>IF(L30="Close","Close chronological sequence",IF(L30="Possible","Possible same outing; intervening stop or unobserved travel possible","Time-separated same-day sightings; not treated as a continuous route"))</x:f>
        <x:v>Close chronological sequence</x:v>
      </x:c>
    </x:row>
    <x:row r="31">
      <x:c r="A31" s="35" t="n">
        <x:v>46191.5</x:v>
      </x:c>
      <x:c r="B31" s="41" t="n">
        <x:v>46191.922800925924</x:v>
      </x:c>
      <x:c r="C31" s="41" t="n">
        <x:v>46191.931226851855</x:v>
      </x:c>
      <x:c r="D31" t="str">
        <x:v>C03</x:v>
      </x:c>
      <x:c r="E31" t="str">
        <x:v>C04</x:v>
      </x:c>
      <x:c r="F31" s="38" t="n">
        <x:v>34.8217311</x:v>
      </x:c>
      <x:c r="G31" s="38" t="n">
        <x:v>-92.2313695</x:v>
      </x:c>
      <x:c r="H31" s="38" t="n">
        <x:v>34.87271694</x:v>
      </x:c>
      <x:c r="I31" s="38" t="n">
        <x:v>-92.22918117</x:v>
      </x:c>
      <x:c r="J31" s="37" t="n">
        <x:f>(C31-B31)*1440</x:f>
        <x:v>12.13333334075287</x:v>
      </x:c>
      <x:c r="K31" s="40" t="n">
        <x:f>ACOS(MIN(1,MAX(-1,SIN(RADIANS(F31))*SIN(RADIANS(H31))+COS(RADIANS(F31))*COS(RADIANS(H31))*COS(RADIANS(I31-G31)))))*3958.8</x:f>
        <x:v>3.525005176961056</x:v>
      </x:c>
      <x:c r="L31" t="str">
        <x:f>IF(J31&lt;=20,"Close",IF(J31&lt;=90,"Possible","Separated"))</x:f>
        <x:v>Close</x:v>
      </x:c>
      <x:c r="M31" t="str">
        <x:f>IF(L31="Close","Close chronological sequence",IF(L31="Possible","Possible same outing; intervening stop or unobserved travel possible","Time-separated same-day sightings; not treated as a continuous route"))</x:f>
        <x:v>Close chronological sequence</x:v>
      </x:c>
    </x:row>
    <x:row r="32">
      <x:c r="A32" s="35" t="n">
        <x:v>46191.5</x:v>
      </x:c>
      <x:c r="B32" s="41" t="n">
        <x:v>46191.931226851855</x:v>
      </x:c>
      <x:c r="C32" s="41" t="n">
        <x:v>46191.958449074074</x:v>
      </x:c>
      <x:c r="D32" t="str">
        <x:v>C04</x:v>
      </x:c>
      <x:c r="E32" t="str">
        <x:v>C09</x:v>
      </x:c>
      <x:c r="F32" s="38" t="n">
        <x:v>34.87271694</x:v>
      </x:c>
      <x:c r="G32" s="38" t="n">
        <x:v>-92.22918117</x:v>
      </x:c>
      <x:c r="H32" s="38" t="n">
        <x:v>34.86822463</x:v>
      </x:c>
      <x:c r="I32" s="38" t="n">
        <x:v>-92.17250685</x:v>
      </x:c>
      <x:c r="J32" s="37" t="n">
        <x:f>(C32-B32)*1440</x:f>
        <x:v>39.19999999576248</x:v>
      </x:c>
      <x:c r="K32" s="40" t="n">
        <x:f>ACOS(MIN(1,MAX(-1,SIN(RADIANS(F32))*SIN(RADIANS(H32))+COS(RADIANS(F32))*COS(RADIANS(H32))*COS(RADIANS(I32-G32)))))*3958.8</x:f>
        <x:v>3.227713851757478</x:v>
      </x:c>
      <x:c r="L32" t="str">
        <x:f>IF(J32&lt;=20,"Close",IF(J32&lt;=90,"Possible","Separated"))</x:f>
        <x:v>Possible</x:v>
      </x:c>
      <x:c r="M32" t="str">
        <x:f>IF(L32="Close","Close chronological sequence",IF(L32="Possible","Possible same outing; intervening stop or unobserved travel possible","Time-separated same-day sightings; not treated as a continuous route"))</x:f>
        <x:v>Possible same outing; intervening stop or unobserved travel possible</x:v>
      </x:c>
    </x:row>
    <x:row r="33">
      <x:c r="A33" s="35" t="n">
        <x:v>46191.5</x:v>
      </x:c>
      <x:c r="B33" s="41" t="n">
        <x:v>46191.958449074074</x:v>
      </x:c>
      <x:c r="C33" s="41" t="n">
        <x:v>46192.00208333333</x:v>
      </x:c>
      <x:c r="D33" t="str">
        <x:v>C09</x:v>
      </x:c>
      <x:c r="E33" t="str">
        <x:v>C08</x:v>
      </x:c>
      <x:c r="F33" s="38" t="n">
        <x:v>34.86822463</x:v>
      </x:c>
      <x:c r="G33" s="38" t="n">
        <x:v>-92.17250685</x:v>
      </x:c>
      <x:c r="H33" s="38" t="n">
        <x:v>34.86934534</x:v>
      </x:c>
      <x:c r="I33" s="38" t="n">
        <x:v>-92.17135008</x:v>
      </x:c>
      <x:c r="J33" s="37" t="n">
        <x:f>(C33-B33)*1440</x:f>
        <x:v>62.83333333209157</x:v>
      </x:c>
      <x:c r="K33" s="40" t="n">
        <x:f>ACOS(MIN(1,MAX(-1,SIN(RADIANS(F33))*SIN(RADIANS(H33))+COS(RADIANS(F33))*COS(RADIANS(H33))*COS(RADIANS(I33-G33)))))*3958.8</x:f>
        <x:v>0.10147092657805741</x:v>
      </x:c>
      <x:c r="L33" t="str">
        <x:f>IF(J33&lt;=20,"Close",IF(J33&lt;=90,"Possible","Separated"))</x:f>
        <x:v>Possible</x:v>
      </x:c>
      <x:c r="M33" t="str">
        <x:f>IF(L33="Close","Close chronological sequence",IF(L33="Possible","Possible same outing; intervening stop or unobserved travel possible","Time-separated same-day sightings; not treated as a continuous route"))</x:f>
        <x:v>Possible same outing; intervening stop or unobserved travel possible</x:v>
      </x:c>
    </x:row>
    <x:row r="34">
      <x:c r="A34" s="35" t="n">
        <x:v>46192.5</x:v>
      </x:c>
      <x:c r="B34" s="41" t="n">
        <x:v>46192.65282407407</x:v>
      </x:c>
      <x:c r="C34" s="41" t="n">
        <x:v>46192.67938657408</x:v>
      </x:c>
      <x:c r="D34" t="str">
        <x:v>C07</x:v>
      </x:c>
      <x:c r="E34" t="str">
        <x:v>C10</x:v>
      </x:c>
      <x:c r="F34" s="38" t="n">
        <x:v>34.80420882</x:v>
      </x:c>
      <x:c r="G34" s="38" t="n">
        <x:v>-92.21140889</x:v>
      </x:c>
      <x:c r="H34" s="38" t="n">
        <x:v>34.81442518</x:v>
      </x:c>
      <x:c r="I34" s="38" t="n">
        <x:v>-92.20538867</x:v>
      </x:c>
      <x:c r="J34" s="37" t="n">
        <x:f>(C34-B34)*1440</x:f>
        <x:v>38.25000000419095</x:v>
      </x:c>
      <x:c r="K34" s="40" t="n">
        <x:f>ACOS(MIN(1,MAX(-1,SIN(RADIANS(F34))*SIN(RADIANS(H34))+COS(RADIANS(F34))*COS(RADIANS(H34))*COS(RADIANS(I34-G34)))))*3958.8</x:f>
        <x:v>0.7841697854378277</x:v>
      </x:c>
      <x:c r="L34" t="str">
        <x:f>IF(J34&lt;=20,"Close",IF(J34&lt;=90,"Possible","Separated"))</x:f>
        <x:v>Possible</x:v>
      </x:c>
      <x:c r="M34" t="str">
        <x:f>IF(L34="Close","Close chronological sequence",IF(L34="Possible","Possible same outing; intervening stop or unobserved travel possible","Time-separated same-day sightings; not treated as a continuous route"))</x:f>
        <x:v>Possible same outing; intervening stop or unobserved travel possible</x:v>
      </x:c>
    </x:row>
    <x:row r="35">
      <x:c r="A35" s="35" t="n">
        <x:v>46192.5</x:v>
      </x:c>
      <x:c r="B35" s="41" t="n">
        <x:v>46192.67938657408</x:v>
      </x:c>
      <x:c r="C35" s="41" t="n">
        <x:v>46192.68887731482</x:v>
      </x:c>
      <x:c r="D35" t="str">
        <x:v>C10</x:v>
      </x:c>
      <x:c r="E35" t="str">
        <x:v>C02</x:v>
      </x:c>
      <x:c r="F35" s="38" t="n">
        <x:v>34.81442518</x:v>
      </x:c>
      <x:c r="G35" s="38" t="n">
        <x:v>-92.20538867</x:v>
      </x:c>
      <x:c r="H35" s="38" t="n">
        <x:v>34.81258891</x:v>
      </x:c>
      <x:c r="I35" s="38" t="n">
        <x:v>-92.20502351</x:v>
      </x:c>
      <x:c r="J35" s="37" t="n">
        <x:f>(C35-B35)*1440</x:f>
        <x:v>13.666666665812954</x:v>
      </x:c>
      <x:c r="K35" s="40" t="n">
        <x:f>ACOS(MIN(1,MAX(-1,SIN(RADIANS(F35))*SIN(RADIANS(H35))+COS(RADIANS(F35))*COS(RADIANS(H35))*COS(RADIANS(I35-G35)))))*3958.8</x:f>
        <x:v>0.12855526864756128</x:v>
      </x:c>
      <x:c r="L35" t="str">
        <x:f>IF(J35&lt;=20,"Close",IF(J35&lt;=90,"Possible","Separated"))</x:f>
        <x:v>Close</x:v>
      </x:c>
      <x:c r="M35" t="str">
        <x:f>IF(L35="Close","Close chronological sequence",IF(L35="Possible","Possible same outing; intervening stop or unobserved travel possible","Time-separated same-day sightings; not treated as a continuous route"))</x:f>
        <x:v>Close chronological sequence</x:v>
      </x:c>
    </x:row>
    <x:row r="36">
      <x:c r="A36" s="35" t="n">
        <x:v>46192.5</x:v>
      </x:c>
      <x:c r="B36" s="41" t="n">
        <x:v>46192.68887731482</x:v>
      </x:c>
      <x:c r="C36" s="41" t="n">
        <x:v>46192.75821759259</x:v>
      </x:c>
      <x:c r="D36" t="str">
        <x:v>C02</x:v>
      </x:c>
      <x:c r="E36" t="str">
        <x:v>C03</x:v>
      </x:c>
      <x:c r="F36" s="38" t="n">
        <x:v>34.81258891</x:v>
      </x:c>
      <x:c r="G36" s="38" t="n">
        <x:v>-92.20502351</x:v>
      </x:c>
      <x:c r="H36" s="38" t="n">
        <x:v>34.8217311</x:v>
      </x:c>
      <x:c r="I36" s="38" t="n">
        <x:v>-92.2313695</x:v>
      </x:c>
      <x:c r="J36" s="37" t="n">
        <x:f>(C36-B36)*1440</x:f>
        <x:v>99.849999997532</x:v>
      </x:c>
      <x:c r="K36" s="40" t="n">
        <x:f>ACOS(MIN(1,MAX(-1,SIN(RADIANS(F36))*SIN(RADIANS(H36))+COS(RADIANS(F36))*COS(RADIANS(H36))*COS(RADIANS(I36-G36)))))*3958.8</x:f>
        <x:v>1.622482109774016</x:v>
      </x:c>
      <x:c r="L36" t="str">
        <x:f>IF(J36&lt;=20,"Close",IF(J36&lt;=90,"Possible","Separated"))</x:f>
        <x:v>Separated</x:v>
      </x:c>
      <x:c r="M36" t="str">
        <x:f>IF(L36="Close","Close chronological sequence",IF(L36="Possible","Possible same outing; intervening stop or unobserved travel possible","Time-separated same-day sightings; not treated as a continuous route"))</x:f>
        <x:v>Time-separated same-day sightings; not treated as a continuous route</x:v>
      </x:c>
    </x:row>
    <x:row r="37">
      <x:c r="A37" s="35" t="n">
        <x:v>46192.5</x:v>
      </x:c>
      <x:c r="B37" s="41" t="n">
        <x:v>46192.75821759259</x:v>
      </x:c>
      <x:c r="C37" s="41" t="n">
        <x:v>46192.762349537035</x:v>
      </x:c>
      <x:c r="D37" t="str">
        <x:v>C03</x:v>
      </x:c>
      <x:c r="E37" t="str">
        <x:v>C04</x:v>
      </x:c>
      <x:c r="F37" s="38" t="n">
        <x:v>34.8217311</x:v>
      </x:c>
      <x:c r="G37" s="38" t="n">
        <x:v>-92.2313695</x:v>
      </x:c>
      <x:c r="H37" s="38" t="n">
        <x:v>34.87271694</x:v>
      </x:c>
      <x:c r="I37" s="38" t="n">
        <x:v>-92.22918117</x:v>
      </x:c>
      <x:c r="J37" s="37" t="n">
        <x:f>(C37-B37)*1440</x:f>
        <x:v>5.949999997392297</x:v>
      </x:c>
      <x:c r="K37" s="40" t="n">
        <x:f>ACOS(MIN(1,MAX(-1,SIN(RADIANS(F37))*SIN(RADIANS(H37))+COS(RADIANS(F37))*COS(RADIANS(H37))*COS(RADIANS(I37-G37)))))*3958.8</x:f>
        <x:v>3.525005176961056</x:v>
      </x:c>
      <x:c r="L37" t="str">
        <x:f>IF(J37&lt;=20,"Close",IF(J37&lt;=90,"Possible","Separated"))</x:f>
        <x:v>Close</x:v>
      </x:c>
      <x:c r="M37" t="str">
        <x:f>IF(L37="Close","Close chronological sequence",IF(L37="Possible","Possible same outing; intervening stop or unobserved travel possible","Time-separated same-day sightings; not treated as a continuous route"))</x:f>
        <x:v>Close chronological sequence</x:v>
      </x:c>
    </x:row>
    <x:row r="38">
      <x:c r="A38" s="35" t="n">
        <x:v>46192.5</x:v>
      </x:c>
      <x:c r="B38" s="41" t="n">
        <x:v>46192.762349537035</x:v>
      </x:c>
      <x:c r="C38" s="41" t="n">
        <x:v>46192.935625</x:v>
      </x:c>
      <x:c r="D38" t="str">
        <x:v>C04</x:v>
      </x:c>
      <x:c r="E38" t="str">
        <x:v>C03</x:v>
      </x:c>
      <x:c r="F38" s="38" t="n">
        <x:v>34.87271694</x:v>
      </x:c>
      <x:c r="G38" s="38" t="n">
        <x:v>-92.22918117</x:v>
      </x:c>
      <x:c r="H38" s="38" t="n">
        <x:v>34.8217311</x:v>
      </x:c>
      <x:c r="I38" s="38" t="n">
        <x:v>-92.2313695</x:v>
      </x:c>
      <x:c r="J38" s="37" t="n">
        <x:f>(C38-B38)*1440</x:f>
        <x:v>249.51666666660458</x:v>
      </x:c>
      <x:c r="K38" s="40" t="n">
        <x:f>ACOS(MIN(1,MAX(-1,SIN(RADIANS(F38))*SIN(RADIANS(H38))+COS(RADIANS(F38))*COS(RADIANS(H38))*COS(RADIANS(I38-G38)))))*3958.8</x:f>
        <x:v>3.525005176961056</x:v>
      </x:c>
      <x:c r="L38" t="str">
        <x:f>IF(J38&lt;=20,"Close",IF(J38&lt;=90,"Possible","Separated"))</x:f>
        <x:v>Separated</x:v>
      </x:c>
      <x:c r="M38" t="str">
        <x:f>IF(L38="Close","Close chronological sequence",IF(L38="Possible","Possible same outing; intervening stop or unobserved travel possible","Time-separated same-day sightings; not treated as a continuous route"))</x:f>
        <x:v>Time-separated same-day sightings; not treated as a continuous route</x:v>
      </x:c>
    </x:row>
    <x:row r="39">
      <x:c r="A39" s="35" t="n">
        <x:v>46192.5</x:v>
      </x:c>
      <x:c r="B39" s="41" t="n">
        <x:v>46192.935625</x:v>
      </x:c>
      <x:c r="C39" s="41" t="n">
        <x:v>46192.94079861111</x:v>
      </x:c>
      <x:c r="D39" t="str">
        <x:v>C03</x:v>
      </x:c>
      <x:c r="E39" t="str">
        <x:v>C04</x:v>
      </x:c>
      <x:c r="F39" s="38" t="n">
        <x:v>34.8217311</x:v>
      </x:c>
      <x:c r="G39" s="38" t="n">
        <x:v>-92.2313695</x:v>
      </x:c>
      <x:c r="H39" s="38" t="n">
        <x:v>34.87271694</x:v>
      </x:c>
      <x:c r="I39" s="38" t="n">
        <x:v>-92.22918117</x:v>
      </x:c>
      <x:c r="J39" s="37" t="n">
        <x:f>(C39-B39)*1440</x:f>
        <x:v>7.45000000228174</x:v>
      </x:c>
      <x:c r="K39" s="40" t="n">
        <x:f>ACOS(MIN(1,MAX(-1,SIN(RADIANS(F39))*SIN(RADIANS(H39))+COS(RADIANS(F39))*COS(RADIANS(H39))*COS(RADIANS(I39-G39)))))*3958.8</x:f>
        <x:v>3.525005176961056</x:v>
      </x:c>
      <x:c r="L39" t="str">
        <x:f>IF(J39&lt;=20,"Close",IF(J39&lt;=90,"Possible","Separated"))</x:f>
        <x:v>Close</x:v>
      </x:c>
      <x:c r="M39" t="str">
        <x:f>IF(L39="Close","Close chronological sequence",IF(L39="Possible","Possible same outing; intervening stop or unobserved travel possible","Time-separated same-day sightings; not treated as a continuous route"))</x:f>
        <x:v>Close chronological sequence</x:v>
      </x:c>
    </x:row>
    <x:row r="40">
      <x:c r="A40" s="35" t="n">
        <x:v>46193.5</x:v>
      </x:c>
      <x:c r="B40" s="41" t="n">
        <x:v>46193.579976851855</x:v>
      </x:c>
      <x:c r="C40" s="41" t="n">
        <x:v>46193.934849537036</x:v>
      </x:c>
      <x:c r="D40" t="str">
        <x:v>C11</x:v>
      </x:c>
      <x:c r="E40" t="str">
        <x:v>C03</x:v>
      </x:c>
      <x:c r="F40" s="38" t="n">
        <x:v>34.84075957</x:v>
      </x:c>
      <x:c r="G40" s="38" t="n">
        <x:v>-92.24330977</x:v>
      </x:c>
      <x:c r="H40" s="38" t="n">
        <x:v>34.8217311</x:v>
      </x:c>
      <x:c r="I40" s="38" t="n">
        <x:v>-92.2313695</x:v>
      </x:c>
      <x:c r="J40" s="37" t="n">
        <x:f>(C40-B40)*1440</x:f>
        <x:v>511.0166666598525</x:v>
      </x:c>
      <x:c r="K40" s="40" t="n">
        <x:f>ACOS(MIN(1,MAX(-1,SIN(RADIANS(F40))*SIN(RADIANS(H40))+COS(RADIANS(F40))*COS(RADIANS(H40))*COS(RADIANS(I40-G40)))))*3958.8</x:f>
        <x:v>1.4789086472805706</x:v>
      </x:c>
      <x:c r="L40" t="str">
        <x:f>IF(J40&lt;=20,"Close",IF(J40&lt;=90,"Possible","Separated"))</x:f>
        <x:v>Separated</x:v>
      </x:c>
      <x:c r="M40" t="str">
        <x:f>IF(L40="Close","Close chronological sequence",IF(L40="Possible","Possible same outing; intervening stop or unobserved travel possible","Time-separated same-day sightings; not treated as a continuous route"))</x:f>
        <x:v>Time-separated same-day sightings; not treated as a continuous route</x:v>
      </x:c>
    </x:row>
    <x:row r="41">
      <x:c r="A41" s="35" t="n">
        <x:v>46193.5</x:v>
      </x:c>
      <x:c r="B41" s="41" t="n">
        <x:v>46193.934849537036</x:v>
      </x:c>
      <x:c r="C41" s="41" t="n">
        <x:v>46193.93945601852</x:v>
      </x:c>
      <x:c r="D41" t="str">
        <x:v>C03</x:v>
      </x:c>
      <x:c r="E41" t="str">
        <x:v>C04</x:v>
      </x:c>
      <x:c r="F41" s="38" t="n">
        <x:v>34.8217311</x:v>
      </x:c>
      <x:c r="G41" s="38" t="n">
        <x:v>-92.2313695</x:v>
      </x:c>
      <x:c r="H41" s="38" t="n">
        <x:v>34.87271694</x:v>
      </x:c>
      <x:c r="I41" s="38" t="n">
        <x:v>-92.22918117</x:v>
      </x:c>
      <x:c r="J41" s="37" t="n">
        <x:f>(C41-B41)*1440</x:f>
        <x:v>6.633333333302289</x:v>
      </x:c>
      <x:c r="K41" s="40" t="n">
        <x:f>ACOS(MIN(1,MAX(-1,SIN(RADIANS(F41))*SIN(RADIANS(H41))+COS(RADIANS(F41))*COS(RADIANS(H41))*COS(RADIANS(I41-G41)))))*3958.8</x:f>
        <x:v>3.525005176961056</x:v>
      </x:c>
      <x:c r="L41" t="str">
        <x:f>IF(J41&lt;=20,"Close",IF(J41&lt;=90,"Possible","Separated"))</x:f>
        <x:v>Close</x:v>
      </x:c>
      <x:c r="M41" t="str">
        <x:f>IF(L41="Close","Close chronological sequence",IF(L41="Possible","Possible same outing; intervening stop or unobserved travel possible","Time-separated same-day sightings; not treated as a continuous route"))</x:f>
        <x:v>Close chronological sequence</x:v>
      </x:c>
    </x:row>
    <x:row r="42">
      <x:c r="A42" s="35" t="n">
        <x:v>46194.5</x:v>
      </x:c>
      <x:c r="B42" s="41" t="n">
        <x:v>46194.70486111111</x:v>
      </x:c>
      <x:c r="C42" s="41" t="n">
        <x:v>46194.74199074074</x:v>
      </x:c>
      <x:c r="D42" t="str">
        <x:v>C12</x:v>
      </x:c>
      <x:c r="E42" t="str">
        <x:v>C05</x:v>
      </x:c>
      <x:c r="F42" s="38" t="n">
        <x:v>34.88060988</x:v>
      </x:c>
      <x:c r="G42" s="38" t="n">
        <x:v>-92.18205206</x:v>
      </x:c>
      <x:c r="H42" s="38" t="n">
        <x:v>34.82041424</x:v>
      </x:c>
      <x:c r="I42" s="38" t="n">
        <x:v>-92.2329764</x:v>
      </x:c>
      <x:c r="J42" s="37" t="n">
        <x:f>(C42-B42)*1440</x:f>
        <x:v>53.46666666562669</x:v>
      </x:c>
      <x:c r="K42" s="40" t="n">
        <x:f>ACOS(MIN(1,MAX(-1,SIN(RADIANS(F42))*SIN(RADIANS(H42))+COS(RADIANS(F42))*COS(RADIANS(H42))*COS(RADIANS(I42-G42)))))*3958.8</x:f>
        <x:v>5.063229764764157</x:v>
      </x:c>
      <x:c r="L42" t="str">
        <x:f>IF(J42&lt;=20,"Close",IF(J42&lt;=90,"Possible","Separated"))</x:f>
        <x:v>Possible</x:v>
      </x:c>
      <x:c r="M42" t="str">
        <x:f>IF(L42="Close","Close chronological sequence",IF(L42="Possible","Possible same outing; intervening stop or unobserved travel possible","Time-separated same-day sightings; not treated as a continuous route"))</x:f>
        <x:v>Possible same outing; intervening stop or unobserved travel possible</x:v>
      </x:c>
    </x:row>
    <x:row r="43">
      <x:c r="A43" s="35" t="n">
        <x:v>46194.5</x:v>
      </x:c>
      <x:c r="B43" s="41" t="n">
        <x:v>46194.74199074074</x:v>
      </x:c>
      <x:c r="C43" s="41" t="n">
        <x:v>46194.83429398148</x:v>
      </x:c>
      <x:c r="D43" t="str">
        <x:v>C05</x:v>
      </x:c>
      <x:c r="E43" t="str">
        <x:v>C03</x:v>
      </x:c>
      <x:c r="F43" s="38" t="n">
        <x:v>34.82041424</x:v>
      </x:c>
      <x:c r="G43" s="38" t="n">
        <x:v>-92.2329764</x:v>
      </x:c>
      <x:c r="H43" s="38" t="n">
        <x:v>34.8217311</x:v>
      </x:c>
      <x:c r="I43" s="38" t="n">
        <x:v>-92.2313695</x:v>
      </x:c>
      <x:c r="J43" s="37" t="n">
        <x:f>(C43-B43)*1440</x:f>
        <x:v>132.91666667209938</x:v>
      </x:c>
      <x:c r="K43" s="40" t="n">
        <x:f>ACOS(MIN(1,MAX(-1,SIN(RADIANS(F43))*SIN(RADIANS(H43))+COS(RADIANS(F43))*COS(RADIANS(H43))*COS(RADIANS(I43-G43)))))*3958.8</x:f>
        <x:v>0.1287881787096219</x:v>
      </x:c>
      <x:c r="L43" t="str">
        <x:f>IF(J43&lt;=20,"Close",IF(J43&lt;=90,"Possible","Separated"))</x:f>
        <x:v>Separated</x:v>
      </x:c>
      <x:c r="M43" t="str">
        <x:f>IF(L43="Close","Close chronological sequence",IF(L43="Possible","Possible same outing; intervening stop or unobserved travel possible","Time-separated same-day sightings; not treated as a continuous route"))</x:f>
        <x:v>Time-separated same-day sightings; not treated as a continuous route</x:v>
      </x:c>
    </x:row>
    <x:row r="44">
      <x:c r="A44" s="35" t="n">
        <x:v>46194.5</x:v>
      </x:c>
      <x:c r="B44" s="41" t="n">
        <x:v>46194.83429398148</x:v>
      </x:c>
      <x:c r="C44" s="41" t="n">
        <x:v>46194.838854166665</x:v>
      </x:c>
      <x:c r="D44" t="str">
        <x:v>C03</x:v>
      </x:c>
      <x:c r="E44" t="str">
        <x:v>C04</x:v>
      </x:c>
      <x:c r="F44" s="38" t="n">
        <x:v>34.8217311</x:v>
      </x:c>
      <x:c r="G44" s="38" t="n">
        <x:v>-92.2313695</x:v>
      </x:c>
      <x:c r="H44" s="38" t="n">
        <x:v>34.87271694</x:v>
      </x:c>
      <x:c r="I44" s="38" t="n">
        <x:v>-92.22918117</x:v>
      </x:c>
      <x:c r="J44" s="37" t="n">
        <x:f>(C44-B44)*1440</x:f>
        <x:v>6.5666666615288705</x:v>
      </x:c>
      <x:c r="K44" s="40" t="n">
        <x:f>ACOS(MIN(1,MAX(-1,SIN(RADIANS(F44))*SIN(RADIANS(H44))+COS(RADIANS(F44))*COS(RADIANS(H44))*COS(RADIANS(I44-G44)))))*3958.8</x:f>
        <x:v>3.525005176961056</x:v>
      </x:c>
      <x:c r="L44" t="str">
        <x:f>IF(J44&lt;=20,"Close",IF(J44&lt;=90,"Possible","Separated"))</x:f>
        <x:v>Close</x:v>
      </x:c>
      <x:c r="M44" t="str">
        <x:f>IF(L44="Close","Close chronological sequence",IF(L44="Possible","Possible same outing; intervening stop or unobserved travel possible","Time-separated same-day sightings; not treated as a continuous route"))</x:f>
        <x:v>Close chronological sequence</x:v>
      </x:c>
    </x:row>
    <x:row r="45">
      <x:c r="A45" s="35" t="n">
        <x:v>46196.5</x:v>
      </x:c>
      <x:c r="B45" s="41" t="n">
        <x:v>46196.57928240741</x:v>
      </x:c>
      <x:c r="C45" s="41" t="n">
        <x:v>46196.894328703704</x:v>
      </x:c>
      <x:c r="D45" t="str">
        <x:v>C04</x:v>
      </x:c>
      <x:c r="E45" t="str">
        <x:v>C03</x:v>
      </x:c>
      <x:c r="F45" s="38" t="n">
        <x:v>34.87271694</x:v>
      </x:c>
      <x:c r="G45" s="38" t="n">
        <x:v>-92.22918117</x:v>
      </x:c>
      <x:c r="H45" s="38" t="n">
        <x:v>34.8217311</x:v>
      </x:c>
      <x:c r="I45" s="38" t="n">
        <x:v>-92.2313695</x:v>
      </x:c>
      <x:c r="J45" s="37" t="n">
        <x:f>(C45-B45)*1440</x:f>
        <x:v>453.6666666646488</x:v>
      </x:c>
      <x:c r="K45" s="40" t="n">
        <x:f>ACOS(MIN(1,MAX(-1,SIN(RADIANS(F45))*SIN(RADIANS(H45))+COS(RADIANS(F45))*COS(RADIANS(H45))*COS(RADIANS(I45-G45)))))*3958.8</x:f>
        <x:v>3.525005176961056</x:v>
      </x:c>
      <x:c r="L45" t="str">
        <x:f>IF(J45&lt;=20,"Close",IF(J45&lt;=90,"Possible","Separated"))</x:f>
        <x:v>Separated</x:v>
      </x:c>
      <x:c r="M45" t="str">
        <x:f>IF(L45="Close","Close chronological sequence",IF(L45="Possible","Possible same outing; intervening stop or unobserved travel possible","Time-separated same-day sightings; not treated as a continuous route"))</x:f>
        <x:v>Time-separated same-day sightings; not treated as a continuous route</x:v>
      </x:c>
    </x:row>
    <x:row r="46">
      <x:c r="A46" s="35" t="n">
        <x:v>46196.5</x:v>
      </x:c>
      <x:c r="B46" s="41" t="n">
        <x:v>46196.894328703704</x:v>
      </x:c>
      <x:c r="C46" s="41" t="n">
        <x:v>46196.90541666667</x:v>
      </x:c>
      <x:c r="D46" t="str">
        <x:v>C03</x:v>
      </x:c>
      <x:c r="E46" t="str">
        <x:v>C04</x:v>
      </x:c>
      <x:c r="F46" s="38" t="n">
        <x:v>34.8217311</x:v>
      </x:c>
      <x:c r="G46" s="38" t="n">
        <x:v>-92.2313695</x:v>
      </x:c>
      <x:c r="H46" s="38" t="n">
        <x:v>34.87271694</x:v>
      </x:c>
      <x:c r="I46" s="38" t="n">
        <x:v>-92.22918117</x:v>
      </x:c>
      <x:c r="J46" s="37" t="n">
        <x:f>(C46-B46)*1440</x:f>
        <x:v>15.96666666911915</x:v>
      </x:c>
      <x:c r="K46" s="40" t="n">
        <x:f>ACOS(MIN(1,MAX(-1,SIN(RADIANS(F46))*SIN(RADIANS(H46))+COS(RADIANS(F46))*COS(RADIANS(H46))*COS(RADIANS(I46-G46)))))*3958.8</x:f>
        <x:v>3.525005176961056</x:v>
      </x:c>
      <x:c r="L46" t="str">
        <x:f>IF(J46&lt;=20,"Close",IF(J46&lt;=90,"Possible","Separated"))</x:f>
        <x:v>Close</x:v>
      </x:c>
      <x:c r="M46" t="str">
        <x:f>IF(L46="Close","Close chronological sequence",IF(L46="Possible","Possible same outing; intervening stop or unobserved travel possible","Time-separated same-day sightings; not treated as a continuous route"))</x:f>
        <x:v>Close chronological sequence</x:v>
      </x:c>
    </x:row>
    <x:row r="47">
      <x:c r="A47" s="35" t="n">
        <x:v>46197.5</x:v>
      </x:c>
      <x:c r="B47" s="41" t="n">
        <x:v>46197.8290162037</x:v>
      </x:c>
      <x:c r="C47" s="41" t="n">
        <x:v>46197.83311342593</x:v>
      </x:c>
      <x:c r="D47" t="str">
        <x:v>C03</x:v>
      </x:c>
      <x:c r="E47" t="str">
        <x:v>C04</x:v>
      </x:c>
      <x:c r="F47" s="38" t="n">
        <x:v>34.8217311</x:v>
      </x:c>
      <x:c r="G47" s="38" t="n">
        <x:v>-92.2313695</x:v>
      </x:c>
      <x:c r="H47" s="38" t="n">
        <x:v>34.87271694</x:v>
      </x:c>
      <x:c r="I47" s="38" t="n">
        <x:v>-92.22918117</x:v>
      </x:c>
      <x:c r="J47" s="37" t="n">
        <x:f>(C47-B47)*1440</x:f>
        <x:v>5.900000006658956</x:v>
      </x:c>
      <x:c r="K47" s="40" t="n">
        <x:f>ACOS(MIN(1,MAX(-1,SIN(RADIANS(F47))*SIN(RADIANS(H47))+COS(RADIANS(F47))*COS(RADIANS(H47))*COS(RADIANS(I47-G47)))))*3958.8</x:f>
        <x:v>3.525005176961056</x:v>
      </x:c>
      <x:c r="L47" t="str">
        <x:f>IF(J47&lt;=20,"Close",IF(J47&lt;=90,"Possible","Separated"))</x:f>
        <x:v>Close</x:v>
      </x:c>
      <x:c r="M47" t="str">
        <x:f>IF(L47="Close","Close chronological sequence",IF(L47="Possible","Possible same outing; intervening stop or unobserved travel possible","Time-separated same-day sightings; not treated as a continuous route"))</x:f>
        <x:v>Close chronological sequence</x:v>
      </x:c>
    </x:row>
    <x:row r="48">
      <x:c r="A48" s="35" t="n">
        <x:v>46199.5</x:v>
      </x:c>
      <x:c r="B48" s="41" t="n">
        <x:v>46199.62535879629</x:v>
      </x:c>
      <x:c r="C48" s="41" t="n">
        <x:v>46199.83766203704</x:v>
      </x:c>
      <x:c r="D48" t="str">
        <x:v>C06</x:v>
      </x:c>
      <x:c r="E48" t="str">
        <x:v>C05</x:v>
      </x:c>
      <x:c r="F48" s="38" t="n">
        <x:v>34.82933191</x:v>
      </x:c>
      <x:c r="G48" s="38" t="n">
        <x:v>-92.1910489</x:v>
      </x:c>
      <x:c r="H48" s="38" t="n">
        <x:v>34.82041424</x:v>
      </x:c>
      <x:c r="I48" s="38" t="n">
        <x:v>-92.2329764</x:v>
      </x:c>
      <x:c r="J48" s="37" t="n">
        <x:f>(C48-B48)*1440</x:f>
        <x:v>305.71666667587124</x:v>
      </x:c>
      <x:c r="K48" s="40" t="n">
        <x:f>ACOS(MIN(1,MAX(-1,SIN(RADIANS(F48))*SIN(RADIANS(H48))+COS(RADIANS(F48))*COS(RADIANS(H48))*COS(RADIANS(I48-G48)))))*3958.8</x:f>
        <x:v>2.456629921622232</x:v>
      </x:c>
      <x:c r="L48" t="str">
        <x:f>IF(J48&lt;=20,"Close",IF(J48&lt;=90,"Possible","Separated"))</x:f>
        <x:v>Separated</x:v>
      </x:c>
      <x:c r="M48" t="str">
        <x:f>IF(L48="Close","Close chronological sequence",IF(L48="Possible","Possible same outing; intervening stop or unobserved travel possible","Time-separated same-day sightings; not treated as a continuous route"))</x:f>
        <x:v>Time-separated same-day sightings; not treated as a continuous route</x:v>
      </x:c>
    </x:row>
    <x:row r="49">
      <x:c r="A49" s="35" t="n">
        <x:v>46199.5</x:v>
      </x:c>
      <x:c r="B49" s="41" t="n">
        <x:v>46199.83766203704</x:v>
      </x:c>
      <x:c r="C49" s="41" t="n">
        <x:v>46199.90798611111</x:v>
      </x:c>
      <x:c r="D49" t="str">
        <x:v>C05</x:v>
      </x:c>
      <x:c r="E49" t="str">
        <x:v>C03</x:v>
      </x:c>
      <x:c r="F49" s="38" t="n">
        <x:v>34.82041424</x:v>
      </x:c>
      <x:c r="G49" s="38" t="n">
        <x:v>-92.2329764</x:v>
      </x:c>
      <x:c r="H49" s="38" t="n">
        <x:v>34.8217311</x:v>
      </x:c>
      <x:c r="I49" s="38" t="n">
        <x:v>-92.2313695</x:v>
      </x:c>
      <x:c r="J49" s="37" t="n">
        <x:f>(C49-B49)*1440</x:f>
        <x:v>101.26666666008532</x:v>
      </x:c>
      <x:c r="K49" s="40" t="n">
        <x:f>ACOS(MIN(1,MAX(-1,SIN(RADIANS(F49))*SIN(RADIANS(H49))+COS(RADIANS(F49))*COS(RADIANS(H49))*COS(RADIANS(I49-G49)))))*3958.8</x:f>
        <x:v>0.1287881787096219</x:v>
      </x:c>
      <x:c r="L49" t="str">
        <x:f>IF(J49&lt;=20,"Close",IF(J49&lt;=90,"Possible","Separated"))</x:f>
        <x:v>Separated</x:v>
      </x:c>
      <x:c r="M49" t="str">
        <x:f>IF(L49="Close","Close chronological sequence",IF(L49="Possible","Possible same outing; intervening stop or unobserved travel possible","Time-separated same-day sightings; not treated as a continuous route"))</x:f>
        <x:v>Time-separated same-day sightings; not treated as a continuous route</x:v>
      </x:c>
    </x:row>
    <x:row r="50">
      <x:c r="A50" s="35" t="n">
        <x:v>46199.5</x:v>
      </x:c>
      <x:c r="B50" s="41" t="n">
        <x:v>46199.90798611111</x:v>
      </x:c>
      <x:c r="C50" s="41" t="n">
        <x:v>46199.91311342592</x:v>
      </x:c>
      <x:c r="D50" t="str">
        <x:v>C03</x:v>
      </x:c>
      <x:c r="E50" t="str">
        <x:v>C04</x:v>
      </x:c>
      <x:c r="F50" s="38" t="n">
        <x:v>34.8217311</x:v>
      </x:c>
      <x:c r="G50" s="38" t="n">
        <x:v>-92.2313695</x:v>
      </x:c>
      <x:c r="H50" s="38" t="n">
        <x:v>34.87271694</x:v>
      </x:c>
      <x:c r="I50" s="38" t="n">
        <x:v>-92.22918117</x:v>
      </x:c>
      <x:c r="J50" s="37" t="n">
        <x:f>(C50-B50)*1440</x:f>
        <x:v>7.3833333305083215</x:v>
      </x:c>
      <x:c r="K50" s="40" t="n">
        <x:f>ACOS(MIN(1,MAX(-1,SIN(RADIANS(F50))*SIN(RADIANS(H50))+COS(RADIANS(F50))*COS(RADIANS(H50))*COS(RADIANS(I50-G50)))))*3958.8</x:f>
        <x:v>3.525005176961056</x:v>
      </x:c>
      <x:c r="L50" t="str">
        <x:f>IF(J50&lt;=20,"Close",IF(J50&lt;=90,"Possible","Separated"))</x:f>
        <x:v>Close</x:v>
      </x:c>
      <x:c r="M50" t="str">
        <x:f>IF(L50="Close","Close chronological sequence",IF(L50="Possible","Possible same outing; intervening stop or unobserved travel possible","Time-separated same-day sightings; not treated as a continuous route"))</x:f>
        <x:v>Close chronological sequence</x:v>
      </x:c>
    </x:row>
    <x:row r="51">
      <x:c r="A51" s="35" t="n">
        <x:v>46200.5</x:v>
      </x:c>
      <x:c r="B51" s="41" t="n">
        <x:v>46200.70873842593</x:v>
      </x:c>
      <x:c r="C51" s="41" t="n">
        <x:v>46200.7521875</x:v>
      </x:c>
      <x:c r="D51" t="str">
        <x:v>C12</x:v>
      </x:c>
      <x:c r="E51" t="str">
        <x:v>C05</x:v>
      </x:c>
      <x:c r="F51" s="38" t="n">
        <x:v>34.88060988</x:v>
      </x:c>
      <x:c r="G51" s="38" t="n">
        <x:v>-92.18205206</x:v>
      </x:c>
      <x:c r="H51" s="38" t="n">
        <x:v>34.82041424</x:v>
      </x:c>
      <x:c r="I51" s="38" t="n">
        <x:v>-92.2329764</x:v>
      </x:c>
      <x:c r="J51" s="37" t="n">
        <x:f>(C51-B51)*1440</x:f>
        <x:v>62.56666666595265</x:v>
      </x:c>
      <x:c r="K51" s="40" t="n">
        <x:f>ACOS(MIN(1,MAX(-1,SIN(RADIANS(F51))*SIN(RADIANS(H51))+COS(RADIANS(F51))*COS(RADIANS(H51))*COS(RADIANS(I51-G51)))))*3958.8</x:f>
        <x:v>5.063229764764157</x:v>
      </x:c>
      <x:c r="L51" t="str">
        <x:f>IF(J51&lt;=20,"Close",IF(J51&lt;=90,"Possible","Separated"))</x:f>
        <x:v>Possible</x:v>
      </x:c>
      <x:c r="M51" t="str">
        <x:f>IF(L51="Close","Close chronological sequence",IF(L51="Possible","Possible same outing; intervening stop or unobserved travel possible","Time-separated same-day sightings; not treated as a continuous route"))</x:f>
        <x:v>Possible same outing; intervening stop or unobserved travel possible</x:v>
      </x:c>
    </x:row>
    <x:row r="52">
      <x:c r="A52" s="35" t="n">
        <x:v>46200.5</x:v>
      </x:c>
      <x:c r="B52" s="41" t="n">
        <x:v>46200.7521875</x:v>
      </x:c>
      <x:c r="C52" s="41" t="n">
        <x:v>46200.82945601852</x:v>
      </x:c>
      <x:c r="D52" t="str">
        <x:v>C05</x:v>
      </x:c>
      <x:c r="E52" t="str">
        <x:v>C03</x:v>
      </x:c>
      <x:c r="F52" s="38" t="n">
        <x:v>34.82041424</x:v>
      </x:c>
      <x:c r="G52" s="38" t="n">
        <x:v>-92.2329764</x:v>
      </x:c>
      <x:c r="H52" s="38" t="n">
        <x:v>34.8217311</x:v>
      </x:c>
      <x:c r="I52" s="38" t="n">
        <x:v>-92.2313695</x:v>
      </x:c>
      <x:c r="J52" s="37" t="n">
        <x:f>(C52-B52)*1440</x:f>
        <x:v>111.26666666124947</x:v>
      </x:c>
      <x:c r="K52" s="40" t="n">
        <x:f>ACOS(MIN(1,MAX(-1,SIN(RADIANS(F52))*SIN(RADIANS(H52))+COS(RADIANS(F52))*COS(RADIANS(H52))*COS(RADIANS(I52-G52)))))*3958.8</x:f>
        <x:v>0.1287881787096219</x:v>
      </x:c>
      <x:c r="L52" t="str">
        <x:f>IF(J52&lt;=20,"Close",IF(J52&lt;=90,"Possible","Separated"))</x:f>
        <x:v>Separated</x:v>
      </x:c>
      <x:c r="M52" t="str">
        <x:f>IF(L52="Close","Close chronological sequence",IF(L52="Possible","Possible same outing; intervening stop or unobserved travel possible","Time-separated same-day sightings; not treated as a continuous route"))</x:f>
        <x:v>Time-separated same-day sightings; not treated as a continuous route</x:v>
      </x:c>
    </x:row>
    <x:row r="53">
      <x:c r="A53" s="35" t="n">
        <x:v>46200.5</x:v>
      </x:c>
      <x:c r="B53" s="41" t="n">
        <x:v>46200.82945601852</x:v>
      </x:c>
      <x:c r="C53" s="41" t="n">
        <x:v>46200.83351851852</x:v>
      </x:c>
      <x:c r="D53" t="str">
        <x:v>C03</x:v>
      </x:c>
      <x:c r="E53" t="str">
        <x:v>C04</x:v>
      </x:c>
      <x:c r="F53" s="38" t="n">
        <x:v>34.8217311</x:v>
      </x:c>
      <x:c r="G53" s="38" t="n">
        <x:v>-92.2313695</x:v>
      </x:c>
      <x:c r="H53" s="38" t="n">
        <x:v>34.87271694</x:v>
      </x:c>
      <x:c r="I53" s="38" t="n">
        <x:v>-92.22918117</x:v>
      </x:c>
      <x:c r="J53" s="37" t="n">
        <x:f>(C53-B53)*1440</x:f>
        <x:v>5.850000005448237</x:v>
      </x:c>
      <x:c r="K53" s="40" t="n">
        <x:f>ACOS(MIN(1,MAX(-1,SIN(RADIANS(F53))*SIN(RADIANS(H53))+COS(RADIANS(F53))*COS(RADIANS(H53))*COS(RADIANS(I53-G53)))))*3958.8</x:f>
        <x:v>3.525005176961056</x:v>
      </x:c>
      <x:c r="L53" t="str">
        <x:f>IF(J53&lt;=20,"Close",IF(J53&lt;=90,"Possible","Separated"))</x:f>
        <x:v>Close</x:v>
      </x:c>
      <x:c r="M53" t="str">
        <x:f>IF(L53="Close","Close chronological sequence",IF(L53="Possible","Possible same outing; intervening stop or unobserved travel possible","Time-separated same-day sightings; not treated as a continuous route"))</x:f>
        <x:v>Close chronological sequence</x:v>
      </x:c>
    </x:row>
    <x:row r="54">
      <x:c r="A54" s="35" t="n">
        <x:v>46201.5</x:v>
      </x:c>
      <x:c r="B54" s="41" t="n">
        <x:v>46201.61876157407</x:v>
      </x:c>
      <x:c r="C54" s="41" t="n">
        <x:v>46201.77912037037</x:v>
      </x:c>
      <x:c r="D54" t="str">
        <x:v>C04</x:v>
      </x:c>
      <x:c r="E54" t="str">
        <x:v>C05</x:v>
      </x:c>
      <x:c r="F54" s="38" t="n">
        <x:v>34.87271694</x:v>
      </x:c>
      <x:c r="G54" s="38" t="n">
        <x:v>-92.22918117</x:v>
      </x:c>
      <x:c r="H54" s="38" t="n">
        <x:v>34.82041424</x:v>
      </x:c>
      <x:c r="I54" s="38" t="n">
        <x:v>-92.2329764</x:v>
      </x:c>
      <x:c r="J54" s="37" t="n">
        <x:f>(C54-B54)*1440</x:f>
        <x:v>230.91666666674428</x:v>
      </x:c>
      <x:c r="K54" s="40" t="n">
        <x:f>ACOS(MIN(1,MAX(-1,SIN(RADIANS(F54))*SIN(RADIANS(H54))+COS(RADIANS(F54))*COS(RADIANS(H54))*COS(RADIANS(I54-G54)))))*3958.8</x:f>
        <x:v>3.620209926278151</x:v>
      </x:c>
      <x:c r="L54" t="str">
        <x:f>IF(J54&lt;=20,"Close",IF(J54&lt;=90,"Possible","Separated"))</x:f>
        <x:v>Separated</x:v>
      </x:c>
      <x:c r="M54" t="str">
        <x:f>IF(L54="Close","Close chronological sequence",IF(L54="Possible","Possible same outing; intervening stop or unobserved travel possible","Time-separated same-day sightings; not treated as a continuous route"))</x:f>
        <x:v>Time-separated same-day sightings; not treated as a continuous route</x:v>
      </x:c>
    </x:row>
    <x:row r="55">
      <x:c r="A55" s="35" t="n">
        <x:v>46201.5</x:v>
      </x:c>
      <x:c r="B55" s="41" t="n">
        <x:v>46201.77912037037</x:v>
      </x:c>
      <x:c r="C55" s="41" t="n">
        <x:v>46201.856157407405</x:v>
      </x:c>
      <x:c r="D55" t="str">
        <x:v>C05</x:v>
      </x:c>
      <x:c r="E55" t="str">
        <x:v>C03</x:v>
      </x:c>
      <x:c r="F55" s="38" t="n">
        <x:v>34.82041424</x:v>
      </x:c>
      <x:c r="G55" s="38" t="n">
        <x:v>-92.2329764</x:v>
      </x:c>
      <x:c r="H55" s="38" t="n">
        <x:v>34.8217311</x:v>
      </x:c>
      <x:c r="I55" s="38" t="n">
        <x:v>-92.2313695</x:v>
      </x:c>
      <x:c r="J55" s="37" t="n">
        <x:f>(C55-B55)*1440</x:f>
        <x:v>110.93333333381452</x:v>
      </x:c>
      <x:c r="K55" s="40" t="n">
        <x:f>ACOS(MIN(1,MAX(-1,SIN(RADIANS(F55))*SIN(RADIANS(H55))+COS(RADIANS(F55))*COS(RADIANS(H55))*COS(RADIANS(I55-G55)))))*3958.8</x:f>
        <x:v>0.1287881787096219</x:v>
      </x:c>
      <x:c r="L55" t="str">
        <x:f>IF(J55&lt;=20,"Close",IF(J55&lt;=90,"Possible","Separated"))</x:f>
        <x:v>Separated</x:v>
      </x:c>
      <x:c r="M55" t="str">
        <x:f>IF(L55="Close","Close chronological sequence",IF(L55="Possible","Possible same outing; intervening stop or unobserved travel possible","Time-separated same-day sightings; not treated as a continuous route"))</x:f>
        <x:v>Time-separated same-day sightings; not treated as a continuous route</x:v>
      </x:c>
    </x:row>
    <x:row r="56">
      <x:c r="A56" s="35" t="n">
        <x:v>46201.5</x:v>
      </x:c>
      <x:c r="B56" s="41" t="n">
        <x:v>46201.856157407405</x:v>
      </x:c>
      <x:c r="C56" s="41" t="n">
        <x:v>46201.86087962963</x:v>
      </x:c>
      <x:c r="D56" t="str">
        <x:v>C03</x:v>
      </x:c>
      <x:c r="E56" t="str">
        <x:v>C04</x:v>
      </x:c>
      <x:c r="F56" s="38" t="n">
        <x:v>34.8217311</x:v>
      </x:c>
      <x:c r="G56" s="38" t="n">
        <x:v>-92.2313695</x:v>
      </x:c>
      <x:c r="H56" s="38" t="n">
        <x:v>34.87271694</x:v>
      </x:c>
      <x:c r="I56" s="38" t="n">
        <x:v>-92.22918117</x:v>
      </x:c>
      <x:c r="J56" s="37" t="n">
        <x:f>(C56-B56)*1440</x:f>
        <x:v>6.800000007497147</x:v>
      </x:c>
      <x:c r="K56" s="40" t="n">
        <x:f>ACOS(MIN(1,MAX(-1,SIN(RADIANS(F56))*SIN(RADIANS(H56))+COS(RADIANS(F56))*COS(RADIANS(H56))*COS(RADIANS(I56-G56)))))*3958.8</x:f>
        <x:v>3.525005176961056</x:v>
      </x:c>
      <x:c r="L56" t="str">
        <x:f>IF(J56&lt;=20,"Close",IF(J56&lt;=90,"Possible","Separated"))</x:f>
        <x:v>Close</x:v>
      </x:c>
      <x:c r="M56" t="str">
        <x:f>IF(L56="Close","Close chronological sequence",IF(L56="Possible","Possible same outing; intervening stop or unobserved travel possible","Time-separated same-day sightings; not treated as a continuous route"))</x:f>
        <x:v>Close chronological sequence</x:v>
      </x:c>
    </x:row>
  </x:sheetData>
  <x:conditionalFormatting sqref="L2:L56">
    <x:cfRule type="containsText" dxfId="0" priority="1" operator="containsText" text="Close"/>
    <x:cfRule type="containsText" dxfId="1" priority="2" operator="containsText" text="Possible"/>
    <x:cfRule type="containsText" dxfId="2" priority="3" operator="containsText" text="Separated"/>
  </x:conditionalFormatting>
  <x:pageMargins left="0.7" right="0.7" top="0.75" bottom="0.75" header="0.3" footer="0.3"/>
  <x:tableParts count="1">
    <x:tablePart xmlns:r="http://schemas.openxmlformats.org/officeDocument/2006/relationships" r:id="Rd38d53ece94040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6" hidden="0" customWidth="1"/>
    <x:col min="5" max="5" width="14" hidden="0" customWidth="1"/>
    <x:col min="6" max="6" width="12" hidden="0" customWidth="1"/>
    <x:col min="7" max="7" width="12" hidden="0" customWidth="1"/>
    <x:col min="8" max="8" width="24" hidden="0" customWidth="1"/>
    <x:col min="9" max="9" width="22" hidden="0" customWidth="1"/>
    <x:col min="10" max="10" width="55" hidden="0" customWidth="1"/>
    <x:col min="11" max="11" width="15" hidden="0" customWidth="1"/>
    <x:col min="12" max="12" width="15" hidden="0" customWidth="1"/>
    <x:col min="13" max="13" width="58" hidden="0" customWidth="1"/>
  </x:cols>
  <x:sheetData>
    <x:row r="1" ht="30" customHeight="1">
      <x:c r="A1" s="14" t="str">
        <x:v>Plate</x:v>
      </x:c>
      <x:c r="B1" s="21" t="str">
        <x:v>State</x:v>
      </x:c>
      <x:c r="C1" s="21" t="str">
        <x:v>Capture Date</x:v>
      </x:c>
      <x:c r="D1" s="21" t="str">
        <x:v>Capture Time</x:v>
      </x:c>
      <x:c r="E1" s="21" t="str">
        <x:v>Make</x:v>
      </x:c>
      <x:c r="F1" s="21" t="str">
        <x:v>Body</x:v>
      </x:c>
      <x:c r="G1" s="21" t="str">
        <x:v>Color</x:v>
      </x:c>
      <x:c r="H1" s="21" t="str">
        <x:v>Identifiers</x:v>
      </x:c>
      <x:c r="I1" s="21" t="str">
        <x:v>Capture Network</x:v>
      </x:c>
      <x:c r="J1" s="21" t="str">
        <x:v>Capture Camera</x:v>
      </x:c>
      <x:c r="K1" s="21" t="str">
        <x:v>Capture Location Latitude</x:v>
      </x:c>
      <x:c r="L1" s="21" t="str">
        <x:v>Capture Location Longitude</x:v>
      </x:c>
      <x:c r="M1" s="15" t="str">
        <x:v>Image File Name</x:v>
      </x:c>
    </x:row>
    <x:row r="2">
      <x:c r="A2" t="str">
        <x:v>Vehicle A</x:v>
      </x:c>
      <x:c r="B2" t="str">
        <x:v>arkansas</x:v>
      </x:c>
      <x:c r="C2" t="str">
        <x:v>6/1/2026</x:v>
      </x:c>
      <x:c r="D2" t="str">
        <x:v>17:41:16 CDT</x:v>
      </x:c>
      <x:c r="E2" t="str">
        <x:v>Chevrolet</x:v>
      </x:c>
      <x:c r="F2" t="str">
        <x:v>Pickup</x:v>
      </x:c>
      <x:c r="G2" t="str">
        <x:v>white</x:v>
      </x:c>
      <x:c r="H2" t="str">
        <x:v>Window Stickers</x:v>
      </x:c>
      <x:c r="I2" t="str">
        <x:v>Sherwood AR PD</x:v>
      </x:c>
      <x:c r="J2" t="str">
        <x:v>#04 Kellogg Acres Rd @ North City Limits NB</x:v>
      </x:c>
      <x:c r="K2" s="38" t="str">
        <x:v>34.87271694</x:v>
      </x:c>
      <x:c r="L2" s="38" t="str">
        <x:v>-92.22918117</x:v>
      </x:c>
      <x:c r="M2" t="str">
        <x:v>#04_Kellogg_Acres_Rd_@_North_City_Limits_NB_2026-06-01T22:41:16.763Z.jpg</x:v>
      </x:c>
    </x:row>
    <x:row r="3">
      <x:c r="A3" t="str">
        <x:v>Vehicle A</x:v>
      </x:c>
      <x:c r="B3" t="str">
        <x:v>arkansas</x:v>
      </x:c>
      <x:c r="C3" t="str">
        <x:v>6/4/2026</x:v>
      </x:c>
      <x:c r="D3" t="str">
        <x:v>10:34:13 CDT</x:v>
      </x:c>
      <x:c r="E3" t="str">
        <x:v>Chevrolet</x:v>
      </x:c>
      <x:c r="F3" t="str">
        <x:v>Pickup</x:v>
      </x:c>
      <x:c r="G3" t="str">
        <x:v>white</x:v>
      </x:c>
      <x:c r="H3" t="str">
        <x:v>Window Stickers</x:v>
      </x:c>
      <x:c r="I3" t="str">
        <x:v>Sherwood AR PD</x:v>
      </x:c>
      <x:c r="J3" t="str">
        <x:v>#04 Kellogg Acres Rd @ North City Limits NB</x:v>
      </x:c>
      <x:c r="K3" s="38" t="str">
        <x:v>34.87271694</x:v>
      </x:c>
      <x:c r="L3" s="38" t="str">
        <x:v>-92.22918117</x:v>
      </x:c>
      <x:c r="M3" t="str">
        <x:v>#04_Kellogg_Acres_Rd_@_North_City_Limits_NB_2026-06-04T15:34:13.281Z.jpg</x:v>
      </x:c>
    </x:row>
    <x:row r="4">
      <x:c r="A4" t="str">
        <x:v>Vehicle A</x:v>
      </x:c>
      <x:c r="B4" t="str">
        <x:v>arkansas</x:v>
      </x:c>
      <x:c r="C4" t="str">
        <x:v>6/4/2026</x:v>
      </x:c>
      <x:c r="D4" t="str">
        <x:v>15:05:27 CDT</x:v>
      </x:c>
      <x:c r="E4" t="str">
        <x:v>Chevrolet</x:v>
      </x:c>
      <x:c r="F4" t="str">
        <x:v>Pickup</x:v>
      </x:c>
      <x:c r="G4" t="str">
        <x:v>white</x:v>
      </x:c>
      <x:c r="H4" t="str">
        <x:v>Window Stickers</x:v>
      </x:c>
      <x:c r="I4" t="str">
        <x:v>Sherwood AR PD</x:v>
      </x:c>
      <x:c r="J4" t="str">
        <x:v>#01 Brockington Rd (Southbound)</x:v>
      </x:c>
      <x:c r="K4" s="38" t="str">
        <x:v>34.82712949</x:v>
      </x:c>
      <x:c r="L4" s="38" t="str">
        <x:v>-92.19130226</x:v>
      </x:c>
      <x:c r="M4" t="str">
        <x:v>#01_Brockington_Rd_(Southbound)_2026-06-04T20:05:27.214Z.jpg</x:v>
      </x:c>
    </x:row>
    <x:row r="5">
      <x:c r="A5" t="str">
        <x:v>Vehicle A</x:v>
      </x:c>
      <x:c r="B5" t="str">
        <x:v>arkansas</x:v>
      </x:c>
      <x:c r="C5" t="str">
        <x:v>6/4/2026</x:v>
      </x:c>
      <x:c r="D5" t="str">
        <x:v>15:13:01 CDT</x:v>
      </x:c>
      <x:c r="E5" t="str">
        <x:v>Other</x:v>
      </x:c>
      <x:c r="F5" t="str">
        <x:v>Pickup</x:v>
      </x:c>
      <x:c r="G5" t="str">
        <x:v>white</x:v>
      </x:c>
      <x:c r="H5" t="str"/>
      <x:c r="I5" t="str">
        <x:v>Sherwood AR PD</x:v>
      </x:c>
      <x:c r="J5" t="str">
        <x:v>#02 Warden Rd @ Saltgrass Steakhouse SB</x:v>
      </x:c>
      <x:c r="K5" s="38" t="str">
        <x:v>34.81258891</x:v>
      </x:c>
      <x:c r="L5" s="38" t="str">
        <x:v>-92.20502351</x:v>
      </x:c>
      <x:c r="M5" t="str">
        <x:v>#02_Warden_Rd_@_Saltgrass_Steakhouse_SB_2026-06-04T20:13:01.789Z.jpg</x:v>
      </x:c>
    </x:row>
    <x:row r="6">
      <x:c r="A6" t="str">
        <x:v>Vehicle A</x:v>
      </x:c>
      <x:c r="B6" t="str">
        <x:v>arkansas</x:v>
      </x:c>
      <x:c r="C6" t="str">
        <x:v>6/5/2026</x:v>
      </x:c>
      <x:c r="D6" t="str">
        <x:v>09:23:01 CDT</x:v>
      </x:c>
      <x:c r="E6" t="str">
        <x:v>Chevrolet</x:v>
      </x:c>
      <x:c r="F6" t="str">
        <x:v>Pickup</x:v>
      </x:c>
      <x:c r="G6" t="str">
        <x:v>white</x:v>
      </x:c>
      <x:c r="H6" t="str"/>
      <x:c r="I6" t="str">
        <x:v>Sherwood AR PD</x:v>
      </x:c>
      <x:c r="J6" t="str">
        <x:v>#05 Hwy 107 (Northbound) Greens at North Hills</x:v>
      </x:c>
      <x:c r="K6" s="38" t="str">
        <x:v>34.8217311</x:v>
      </x:c>
      <x:c r="L6" s="38" t="str">
        <x:v>-92.2313695</x:v>
      </x:c>
      <x:c r="M6" t="str">
        <x:v>#05_Hwy_107_(Northbound)_Greens_at_North_Hills_2026-06-05T14:23:01.806Z.jpg</x:v>
      </x:c>
    </x:row>
    <x:row r="7">
      <x:c r="A7" t="str">
        <x:v>Vehicle A</x:v>
      </x:c>
      <x:c r="B7" t="str">
        <x:v>arkansas</x:v>
      </x:c>
      <x:c r="C7" t="str">
        <x:v>6/5/2026</x:v>
      </x:c>
      <x:c r="D7" t="str">
        <x:v>09:29:43 CDT</x:v>
      </x:c>
      <x:c r="E7" t="str">
        <x:v>Ram</x:v>
      </x:c>
      <x:c r="F7" t="str">
        <x:v>Pickup</x:v>
      </x:c>
      <x:c r="G7" t="str">
        <x:v>white</x:v>
      </x:c>
      <x:c r="H7" t="str">
        <x:v>Window Stickers</x:v>
      </x:c>
      <x:c r="I7" t="str">
        <x:v>Sherwood AR PD</x:v>
      </x:c>
      <x:c r="J7" t="str">
        <x:v>#04 Kellogg Acres Rd @ North City Limits NB</x:v>
      </x:c>
      <x:c r="K7" s="38" t="str">
        <x:v>34.87271694</x:v>
      </x:c>
      <x:c r="L7" s="38" t="str">
        <x:v>-92.22918117</x:v>
      </x:c>
      <x:c r="M7" t="str">
        <x:v>#04_Kellogg_Acres_Rd_@_North_City_Limits_NB_2026-06-05T14:29:43.517Z.jpg</x:v>
      </x:c>
    </x:row>
    <x:row r="8">
      <x:c r="A8" t="str">
        <x:v>Vehicle A</x:v>
      </x:c>
      <x:c r="B8" t="str">
        <x:v>arkansas</x:v>
      </x:c>
      <x:c r="C8" t="str">
        <x:v>6/5/2026</x:v>
      </x:c>
      <x:c r="D8" t="str">
        <x:v>11:45:01 CDT</x:v>
      </x:c>
      <x:c r="E8" t="str">
        <x:v>Chevrolet</x:v>
      </x:c>
      <x:c r="F8" t="str">
        <x:v>Pickup</x:v>
      </x:c>
      <x:c r="G8" t="str">
        <x:v>white</x:v>
      </x:c>
      <x:c r="H8" t="str"/>
      <x:c r="I8" t="str">
        <x:v>Sherwood AR PD</x:v>
      </x:c>
      <x:c r="J8" t="str">
        <x:v>#06 Hwy 107 Southbound Near Taco Bell at North Hills Blvd.</x:v>
      </x:c>
      <x:c r="K8" s="38" t="str">
        <x:v>34.82041424</x:v>
      </x:c>
      <x:c r="L8" s="38" t="str">
        <x:v>-92.2329764</x:v>
      </x:c>
      <x:c r="M8" t="str">
        <x:v>#06_Hwy_107_Southbound_Near_Taco_Bell_at_North_Hills_Blvd._2026-06-05T16:45:01.549Z.jpg</x:v>
      </x:c>
    </x:row>
    <x:row r="9">
      <x:c r="A9" t="str">
        <x:v>Vehicle A</x:v>
      </x:c>
      <x:c r="B9" t="str">
        <x:v>arkansas</x:v>
      </x:c>
      <x:c r="C9" t="str">
        <x:v>6/5/2026</x:v>
      </x:c>
      <x:c r="D9" t="str">
        <x:v>13:22:18 CDT</x:v>
      </x:c>
      <x:c r="E9" t="str">
        <x:v>Chevrolet</x:v>
      </x:c>
      <x:c r="F9" t="str">
        <x:v>Pickup</x:v>
      </x:c>
      <x:c r="G9" t="str">
        <x:v>white</x:v>
      </x:c>
      <x:c r="H9" t="str"/>
      <x:c r="I9" t="str">
        <x:v>Sherwood AR PD</x:v>
      </x:c>
      <x:c r="J9" t="str">
        <x:v>#05 Hwy 107 (Northbound) Greens at North Hills</x:v>
      </x:c>
      <x:c r="K9" s="38" t="str">
        <x:v>34.8217311</x:v>
      </x:c>
      <x:c r="L9" s="38" t="str">
        <x:v>-92.2313695</x:v>
      </x:c>
      <x:c r="M9" t="str">
        <x:v>#05_Hwy_107_(Northbound)_Greens_at_North_Hills_2026-06-05T18:22:18.507Z.jpg</x:v>
      </x:c>
    </x:row>
    <x:row r="10">
      <x:c r="A10" t="str">
        <x:v>Vehicle A</x:v>
      </x:c>
      <x:c r="B10" t="str">
        <x:v>arkansas</x:v>
      </x:c>
      <x:c r="C10" t="str">
        <x:v>6/5/2026</x:v>
      </x:c>
      <x:c r="D10" t="str">
        <x:v>13:30:05 CDT</x:v>
      </x:c>
      <x:c r="E10" t="str">
        <x:v>Ram</x:v>
      </x:c>
      <x:c r="F10" t="str">
        <x:v>Pickup</x:v>
      </x:c>
      <x:c r="G10" t="str">
        <x:v>white</x:v>
      </x:c>
      <x:c r="H10" t="str">
        <x:v>Window Stickers</x:v>
      </x:c>
      <x:c r="I10" t="str">
        <x:v>Sherwood AR PD</x:v>
      </x:c>
      <x:c r="J10" t="str">
        <x:v>#04 Kellogg Acres Rd @ North City Limits NB</x:v>
      </x:c>
      <x:c r="K10" s="38" t="str">
        <x:v>34.87271694</x:v>
      </x:c>
      <x:c r="L10" s="38" t="str">
        <x:v>-92.22918117</x:v>
      </x:c>
      <x:c r="M10" t="str">
        <x:v>#04_Kellogg_Acres_Rd_@_North_City_Limits_NB_2026-06-05T18:30:05.406Z.jpg</x:v>
      </x:c>
    </x:row>
    <x:row r="11">
      <x:c r="A11" t="str">
        <x:v>Vehicle A</x:v>
      </x:c>
      <x:c r="B11" t="str">
        <x:v>arkansas</x:v>
      </x:c>
      <x:c r="C11" t="str">
        <x:v>6/5/2026</x:v>
      </x:c>
      <x:c r="D11" t="str">
        <x:v>15:24:33 CDT</x:v>
      </x:c>
      <x:c r="E11" t="str">
        <x:v>Chevrolet</x:v>
      </x:c>
      <x:c r="F11" t="str">
        <x:v>Pickup</x:v>
      </x:c>
      <x:c r="G11" t="str">
        <x:v>white</x:v>
      </x:c>
      <x:c r="H11" t="str"/>
      <x:c r="I11" t="str">
        <x:v>Sherwood AR PD</x:v>
      </x:c>
      <x:c r="J11" t="str">
        <x:v>#06 Hwy 107 Southbound Near Taco Bell at North Hills Blvd.</x:v>
      </x:c>
      <x:c r="K11" s="38" t="str">
        <x:v>34.82041424</x:v>
      </x:c>
      <x:c r="L11" s="38" t="str">
        <x:v>-92.2329764</x:v>
      </x:c>
      <x:c r="M11" t="str">
        <x:v>#06_Hwy_107_Southbound_Near_Taco_Bell_at_North_Hills_Blvd._2026-06-05T20:24:33.430Z.jpg</x:v>
      </x:c>
    </x:row>
    <x:row r="12">
      <x:c r="A12" t="str">
        <x:v>Vehicle A</x:v>
      </x:c>
      <x:c r="B12" t="str">
        <x:v>arkansas</x:v>
      </x:c>
      <x:c r="C12" t="str">
        <x:v>6/5/2026</x:v>
      </x:c>
      <x:c r="D12" t="str">
        <x:v>15:25:06 CDT</x:v>
      </x:c>
      <x:c r="E12" t="str">
        <x:v>Chevrolet</x:v>
      </x:c>
      <x:c r="F12" t="str">
        <x:v>Pickup</x:v>
      </x:c>
      <x:c r="G12" t="str">
        <x:v>white</x:v>
      </x:c>
      <x:c r="H12" t="str"/>
      <x:c r="I12" t="str">
        <x:v>Sherwood AR PD</x:v>
      </x:c>
      <x:c r="J12" t="str">
        <x:v>#06 Hwy 107 Southbound Near Taco Bell at North Hills Blvd.</x:v>
      </x:c>
      <x:c r="K12" s="38" t="str">
        <x:v>34.82041424</x:v>
      </x:c>
      <x:c r="L12" s="38" t="str">
        <x:v>-92.2329764</x:v>
      </x:c>
      <x:c r="M12" t="str">
        <x:v>#06_Hwy_107_Southbound_Near_Taco_Bell_at_North_Hills_Blvd._2026-06-05T20:25:06.033Z.jpg</x:v>
      </x:c>
    </x:row>
    <x:row r="13">
      <x:c r="A13" t="str">
        <x:v>Vehicle A</x:v>
      </x:c>
      <x:c r="B13" t="str">
        <x:v>arkansas</x:v>
      </x:c>
      <x:c r="C13" t="str">
        <x:v>6/5/2026</x:v>
      </x:c>
      <x:c r="D13" t="str">
        <x:v>15:25:11 CDT</x:v>
      </x:c>
      <x:c r="E13" t="str">
        <x:v>Chevrolet</x:v>
      </x:c>
      <x:c r="F13" t="str">
        <x:v>Pickup</x:v>
      </x:c>
      <x:c r="G13" t="str">
        <x:v>white</x:v>
      </x:c>
      <x:c r="H13" t="str"/>
      <x:c r="I13" t="str">
        <x:v>Sherwood AR PD</x:v>
      </x:c>
      <x:c r="J13" t="str">
        <x:v>#06 Hwy 107 Southbound Near Taco Bell at North Hills Blvd.</x:v>
      </x:c>
      <x:c r="K13" s="38" t="str">
        <x:v>34.82041424</x:v>
      </x:c>
      <x:c r="L13" s="38" t="str">
        <x:v>-92.2329764</x:v>
      </x:c>
      <x:c r="M13" t="str">
        <x:v>#06_Hwy_107_Southbound_Near_Taco_Bell_at_North_Hills_Blvd._2026-06-05T20:25:11.699Z.jpg</x:v>
      </x:c>
    </x:row>
    <x:row r="14">
      <x:c r="A14" t="str">
        <x:v>Vehicle A</x:v>
      </x:c>
      <x:c r="B14" t="str">
        <x:v>arkansas</x:v>
      </x:c>
      <x:c r="C14" t="str">
        <x:v>6/5/2026</x:v>
      </x:c>
      <x:c r="D14" t="str">
        <x:v>15:25:12 CDT</x:v>
      </x:c>
      <x:c r="E14" t="str">
        <x:v>Chevrolet</x:v>
      </x:c>
      <x:c r="F14" t="str">
        <x:v>Pickup</x:v>
      </x:c>
      <x:c r="G14" t="str">
        <x:v>white</x:v>
      </x:c>
      <x:c r="H14" t="str"/>
      <x:c r="I14" t="str">
        <x:v>Sherwood AR PD</x:v>
      </x:c>
      <x:c r="J14" t="str">
        <x:v>#06 Hwy 107 Southbound Near Taco Bell at North Hills Blvd.</x:v>
      </x:c>
      <x:c r="K14" s="38" t="str">
        <x:v>34.82041424</x:v>
      </x:c>
      <x:c r="L14" s="38" t="str">
        <x:v>-92.2329764</x:v>
      </x:c>
      <x:c r="M14" t="str">
        <x:v>#06_Hwy_107_Southbound_Near_Taco_Bell_at_North_Hills_Blvd._2026-06-05T20:25:12.339Z.jpg</x:v>
      </x:c>
    </x:row>
    <x:row r="15">
      <x:c r="A15" t="str">
        <x:v>Vehicle A</x:v>
      </x:c>
      <x:c r="B15" t="str">
        <x:v>arkansas</x:v>
      </x:c>
      <x:c r="C15" t="str">
        <x:v>6/5/2026</x:v>
      </x:c>
      <x:c r="D15" t="str">
        <x:v>16:06:43 CDT</x:v>
      </x:c>
      <x:c r="E15" t="str">
        <x:v>GMC</x:v>
      </x:c>
      <x:c r="F15" t="str">
        <x:v>Pickup</x:v>
      </x:c>
      <x:c r="G15" t="str">
        <x:v>white</x:v>
      </x:c>
      <x:c r="H15" t="str"/>
      <x:c r="I15" t="str">
        <x:v>Sherwood AR PD</x:v>
      </x:c>
      <x:c r="J15" t="str">
        <x:v>#05 Hwy 107 (Northbound) Greens at North Hills</x:v>
      </x:c>
      <x:c r="K15" s="38" t="str">
        <x:v>34.8217311</x:v>
      </x:c>
      <x:c r="L15" s="38" t="str">
        <x:v>-92.2313695</x:v>
      </x:c>
      <x:c r="M15" t="str">
        <x:v>#05_Hwy_107_(Northbound)_Greens_at_North_Hills_2026-06-05T21:06:43.377Z.jpg</x:v>
      </x:c>
    </x:row>
    <x:row r="16">
      <x:c r="A16" t="str">
        <x:v>Vehicle A</x:v>
      </x:c>
      <x:c r="B16" t="str">
        <x:v>arkansas</x:v>
      </x:c>
      <x:c r="C16" t="str">
        <x:v>6/5/2026</x:v>
      </x:c>
      <x:c r="D16" t="str">
        <x:v>16:18:13 CDT</x:v>
      </x:c>
      <x:c r="E16" t="str">
        <x:v>Chevrolet</x:v>
      </x:c>
      <x:c r="F16" t="str">
        <x:v>Pickup</x:v>
      </x:c>
      <x:c r="G16" t="str">
        <x:v>white</x:v>
      </x:c>
      <x:c r="H16" t="str">
        <x:v>Window Stickers</x:v>
      </x:c>
      <x:c r="I16" t="str">
        <x:v>Sherwood AR PD</x:v>
      </x:c>
      <x:c r="J16" t="str">
        <x:v>#04 Kellogg Acres Rd @ North City Limits NB</x:v>
      </x:c>
      <x:c r="K16" s="38" t="str">
        <x:v>34.87271694</x:v>
      </x:c>
      <x:c r="L16" s="38" t="str">
        <x:v>-92.22918117</x:v>
      </x:c>
      <x:c r="M16" t="str">
        <x:v>#04_Kellogg_Acres_Rd_@_North_City_Limits_NB_2026-06-05T21:18:13.508Z.jpg</x:v>
      </x:c>
    </x:row>
    <x:row r="17">
      <x:c r="A17" t="str">
        <x:v>Vehicle A</x:v>
      </x:c>
      <x:c r="B17" t="str">
        <x:v>arkansas</x:v>
      </x:c>
      <x:c r="C17" t="str">
        <x:v>6/6/2026</x:v>
      </x:c>
      <x:c r="D17" t="str">
        <x:v>09:33:08 CDT</x:v>
      </x:c>
      <x:c r="E17" t="str">
        <x:v>Chevrolet</x:v>
      </x:c>
      <x:c r="F17" t="str">
        <x:v>Pickup</x:v>
      </x:c>
      <x:c r="G17" t="str">
        <x:v>white</x:v>
      </x:c>
      <x:c r="H17" t="str">
        <x:v>Window Stickers</x:v>
      </x:c>
      <x:c r="I17" t="str">
        <x:v>Sherwood AR PD</x:v>
      </x:c>
      <x:c r="J17" t="str">
        <x:v>#04 Kellogg Acres Rd @ North City Limits NB</x:v>
      </x:c>
      <x:c r="K17" s="38" t="str">
        <x:v>34.87271694</x:v>
      </x:c>
      <x:c r="L17" s="38" t="str">
        <x:v>-92.22918117</x:v>
      </x:c>
      <x:c r="M17" t="str">
        <x:v>#04_Kellogg_Acres_Rd_@_North_City_Limits_NB_2026-06-06T14:33:08.290Z.jpg</x:v>
      </x:c>
    </x:row>
    <x:row r="18">
      <x:c r="A18" t="str">
        <x:v>Vehicle A</x:v>
      </x:c>
      <x:c r="B18" t="str">
        <x:v>arkansas</x:v>
      </x:c>
      <x:c r="C18" t="str">
        <x:v>6/6/2026</x:v>
      </x:c>
      <x:c r="D18" t="str">
        <x:v>14:33:44 CDT</x:v>
      </x:c>
      <x:c r="E18" t="str">
        <x:v>Chevrolet</x:v>
      </x:c>
      <x:c r="F18" t="str">
        <x:v>Pickup</x:v>
      </x:c>
      <x:c r="G18" t="str">
        <x:v>white</x:v>
      </x:c>
      <x:c r="H18" t="str">
        <x:v>Window Stickers</x:v>
      </x:c>
      <x:c r="I18" t="str">
        <x:v>Sherwood AR PD</x:v>
      </x:c>
      <x:c r="J18" t="str">
        <x:v>#06 Hwy 107 Southbound Near Taco Bell at North Hills Blvd.</x:v>
      </x:c>
      <x:c r="K18" s="38" t="str">
        <x:v>34.82041424</x:v>
      </x:c>
      <x:c r="L18" s="38" t="str">
        <x:v>-92.2329764</x:v>
      </x:c>
      <x:c r="M18" t="str">
        <x:v>#06_Hwy_107_Southbound_Near_Taco_Bell_at_North_Hills_Blvd._2026-06-06T19:33:44.403Z.jpg</x:v>
      </x:c>
    </x:row>
    <x:row r="19">
      <x:c r="A19" t="str">
        <x:v>Vehicle A</x:v>
      </x:c>
      <x:c r="B19" t="str">
        <x:v>arkansas</x:v>
      </x:c>
      <x:c r="C19" t="str">
        <x:v>6/6/2026</x:v>
      </x:c>
      <x:c r="D19" t="str">
        <x:v>16:08:05 CDT</x:v>
      </x:c>
      <x:c r="E19" t="str">
        <x:v>GMC</x:v>
      </x:c>
      <x:c r="F19" t="str">
        <x:v>Pickup</x:v>
      </x:c>
      <x:c r="G19" t="str">
        <x:v>white</x:v>
      </x:c>
      <x:c r="H19" t="str">
        <x:v>Window Stickers</x:v>
      </x:c>
      <x:c r="I19" t="str">
        <x:v>Sherwood AR PD</x:v>
      </x:c>
      <x:c r="J19" t="str">
        <x:v>#05 Hwy 107 (Northbound) Greens at North Hills</x:v>
      </x:c>
      <x:c r="K19" s="38" t="str">
        <x:v>34.8217311</x:v>
      </x:c>
      <x:c r="L19" s="38" t="str">
        <x:v>-92.2313695</x:v>
      </x:c>
      <x:c r="M19" t="str">
        <x:v>#05_Hwy_107_(Northbound)_Greens_at_North_Hills_2026-06-06T21:08:05.880Z.jpg</x:v>
      </x:c>
    </x:row>
    <x:row r="20">
      <x:c r="A20" t="str">
        <x:v>Vehicle A</x:v>
      </x:c>
      <x:c r="B20" t="str">
        <x:v>arkansas</x:v>
      </x:c>
      <x:c r="C20" t="str">
        <x:v>6/6/2026</x:v>
      </x:c>
      <x:c r="D20" t="str">
        <x:v>16:15:02 CDT</x:v>
      </x:c>
      <x:c r="E20" t="str">
        <x:v>Chevrolet</x:v>
      </x:c>
      <x:c r="F20" t="str">
        <x:v>Pickup</x:v>
      </x:c>
      <x:c r="G20" t="str">
        <x:v>white</x:v>
      </x:c>
      <x:c r="H20" t="str">
        <x:v>Window Stickers</x:v>
      </x:c>
      <x:c r="I20" t="str">
        <x:v>Sherwood AR PD</x:v>
      </x:c>
      <x:c r="J20" t="str">
        <x:v>#04 Kellogg Acres Rd @ North City Limits NB</x:v>
      </x:c>
      <x:c r="K20" s="38" t="str">
        <x:v>34.87271694</x:v>
      </x:c>
      <x:c r="L20" s="38" t="str">
        <x:v>-92.22918117</x:v>
      </x:c>
      <x:c r="M20" t="str">
        <x:v>#04_Kellogg_Acres_Rd_@_North_City_Limits_NB_2026-06-06T21:15:02.853Z.jpg</x:v>
      </x:c>
    </x:row>
    <x:row r="21">
      <x:c r="A21" t="str">
        <x:v>Vehicle A</x:v>
      </x:c>
      <x:c r="B21" t="str">
        <x:v>arkansas</x:v>
      </x:c>
      <x:c r="C21" t="str">
        <x:v>6/7/2026</x:v>
      </x:c>
      <x:c r="D21" t="str">
        <x:v>09:44:47 CDT</x:v>
      </x:c>
      <x:c r="E21" t="str">
        <x:v>Chevrolet</x:v>
      </x:c>
      <x:c r="F21" t="str">
        <x:v>Pickup</x:v>
      </x:c>
      <x:c r="G21" t="str">
        <x:v>white</x:v>
      </x:c>
      <x:c r="H21" t="str">
        <x:v>Window Stickers</x:v>
      </x:c>
      <x:c r="I21" t="str">
        <x:v>Sherwood AR PD</x:v>
      </x:c>
      <x:c r="J21" t="str">
        <x:v>#01 Brockington Rd (Southbound)</x:v>
      </x:c>
      <x:c r="K21" s="38" t="str">
        <x:v>34.82712949</x:v>
      </x:c>
      <x:c r="L21" s="38" t="str">
        <x:v>-92.19130226</x:v>
      </x:c>
      <x:c r="M21" t="str">
        <x:v>#01_Brockington_Rd_(Southbound)_2026-06-07T14:44:47.499Z.jpg</x:v>
      </x:c>
    </x:row>
    <x:row r="22">
      <x:c r="A22" t="str">
        <x:v>Vehicle A</x:v>
      </x:c>
      <x:c r="B22" t="str">
        <x:v>arkansas</x:v>
      </x:c>
      <x:c r="C22" t="str">
        <x:v>6/7/2026</x:v>
      </x:c>
      <x:c r="D22" t="str">
        <x:v>09:47:28 CDT</x:v>
      </x:c>
      <x:c r="E22" t="str">
        <x:v>Chevrolet</x:v>
      </x:c>
      <x:c r="F22" t="str">
        <x:v>Pickup</x:v>
      </x:c>
      <x:c r="G22" t="str">
        <x:v>white</x:v>
      </x:c>
      <x:c r="H22" t="str">
        <x:v>Tool Box, Window Stickers</x:v>
      </x:c>
      <x:c r="I22" t="str">
        <x:v>Sherwood AR PD</x:v>
      </x:c>
      <x:c r="J22" t="str">
        <x:v>#02 Warden Rd @ Saltgrass Steakhouse SB</x:v>
      </x:c>
      <x:c r="K22" s="38" t="str">
        <x:v>34.81258891</x:v>
      </x:c>
      <x:c r="L22" s="38" t="str">
        <x:v>-92.20502351</x:v>
      </x:c>
      <x:c r="M22" t="str">
        <x:v>#02_Warden_Rd_@_Saltgrass_Steakhouse_SB_2026-06-07T14:47:28.748Z.jpg</x:v>
      </x:c>
    </x:row>
    <x:row r="23">
      <x:c r="A23" t="str">
        <x:v>Vehicle A</x:v>
      </x:c>
      <x:c r="B23" t="str">
        <x:v>arkansas</x:v>
      </x:c>
      <x:c r="C23" t="str">
        <x:v>6/7/2026</x:v>
      </x:c>
      <x:c r="D23" t="str">
        <x:v>09:48:59 CDT</x:v>
      </x:c>
      <x:c r="E23" t="str">
        <x:v>Chevrolet</x:v>
      </x:c>
      <x:c r="F23" t="str">
        <x:v>Pickup</x:v>
      </x:c>
      <x:c r="G23" t="str">
        <x:v>white</x:v>
      </x:c>
      <x:c r="H23" t="str">
        <x:v>Window Stickers</x:v>
      </x:c>
      <x:c r="I23" t="str">
        <x:v>Sherwood AR PD</x:v>
      </x:c>
      <x:c r="J23" t="str">
        <x:v>#09 Landers Rd @ Tractor Supply NB</x:v>
      </x:c>
      <x:c r="K23" s="38" t="str">
        <x:v>34.80420882</x:v>
      </x:c>
      <x:c r="L23" s="38" t="str">
        <x:v>-92.21140889</x:v>
      </x:c>
      <x:c r="M23" t="str">
        <x:v>#09_Landers_Rd_@_Tractor_Supply_NB_2026-06-07T14:48:59.716Z.jpg</x:v>
      </x:c>
    </x:row>
    <x:row r="24">
      <x:c r="A24" t="str">
        <x:v>Vehicle A</x:v>
      </x:c>
      <x:c r="B24" t="str">
        <x:v>arkansas</x:v>
      </x:c>
      <x:c r="C24" t="str">
        <x:v>6/7/2026</x:v>
      </x:c>
      <x:c r="D24" t="str">
        <x:v>10:25:28 CDT</x:v>
      </x:c>
      <x:c r="E24" t="str">
        <x:v>Chevrolet</x:v>
      </x:c>
      <x:c r="F24" t="str">
        <x:v>Pickup</x:v>
      </x:c>
      <x:c r="G24" t="str">
        <x:v>white</x:v>
      </x:c>
      <x:c r="H24" t="str">
        <x:v>Window Stickers</x:v>
      </x:c>
      <x:c r="I24" t="str">
        <x:v>Sherwood AR PD</x:v>
      </x:c>
      <x:c r="J24" t="str">
        <x:v>#02 Brockington Rd (Northbound)</x:v>
      </x:c>
      <x:c r="K24" s="38" t="str">
        <x:v>34.82933191</x:v>
      </x:c>
      <x:c r="L24" s="38" t="str">
        <x:v>-92.1910489</x:v>
      </x:c>
      <x:c r="M24" t="str">
        <x:v>#02_Brockington_Rd_(Northbound)_2026-06-07T15:25:28.740Z.jpg</x:v>
      </x:c>
    </x:row>
    <x:row r="25">
      <x:c r="A25" t="str">
        <x:v>Vehicle A</x:v>
      </x:c>
      <x:c r="B25" t="str">
        <x:v>arkansas</x:v>
      </x:c>
      <x:c r="C25" t="str">
        <x:v>6/7/2026</x:v>
      </x:c>
      <x:c r="D25" t="str">
        <x:v>11:59:03 CDT</x:v>
      </x:c>
      <x:c r="E25" t="str">
        <x:v>Chevrolet</x:v>
      </x:c>
      <x:c r="F25" t="str">
        <x:v>Pickup</x:v>
      </x:c>
      <x:c r="G25" t="str">
        <x:v>white</x:v>
      </x:c>
      <x:c r="H25" t="str"/>
      <x:c r="I25" t="str">
        <x:v>Sherwood AR PD</x:v>
      </x:c>
      <x:c r="J25" t="str">
        <x:v>#06 Hwy 107 Southbound Near Taco Bell at North Hills Blvd.</x:v>
      </x:c>
      <x:c r="K25" s="38" t="str">
        <x:v>34.82041424</x:v>
      </x:c>
      <x:c r="L25" s="38" t="str">
        <x:v>-92.2329764</x:v>
      </x:c>
      <x:c r="M25" t="str">
        <x:v>#06_Hwy_107_Southbound_Near_Taco_Bell_at_North_Hills_Blvd._2026-06-07T16:59:03.274Z.jpg</x:v>
      </x:c>
    </x:row>
    <x:row r="26">
      <x:c r="A26" t="str">
        <x:v>Vehicle A</x:v>
      </x:c>
      <x:c r="B26" t="str">
        <x:v>arkansas</x:v>
      </x:c>
      <x:c r="C26" t="str">
        <x:v>6/7/2026</x:v>
      </x:c>
      <x:c r="D26" t="str">
        <x:v>13:58:30 CDT</x:v>
      </x:c>
      <x:c r="E26" t="str">
        <x:v>Chevrolet</x:v>
      </x:c>
      <x:c r="F26" t="str">
        <x:v>Pickup</x:v>
      </x:c>
      <x:c r="G26" t="str">
        <x:v>white</x:v>
      </x:c>
      <x:c r="H26" t="str"/>
      <x:c r="I26" t="str">
        <x:v>Sherwood AR PD</x:v>
      </x:c>
      <x:c r="J26" t="str">
        <x:v>#05 Hwy 107 (Northbound) Greens at North Hills</x:v>
      </x:c>
      <x:c r="K26" s="38" t="str">
        <x:v>34.8217311</x:v>
      </x:c>
      <x:c r="L26" s="38" t="str">
        <x:v>-92.2313695</x:v>
      </x:c>
      <x:c r="M26" t="str">
        <x:v>#05_Hwy_107_(Northbound)_Greens_at_North_Hills_2026-06-07T18:58:30.420Z.jpg</x:v>
      </x:c>
    </x:row>
    <x:row r="27">
      <x:c r="A27" t="str">
        <x:v>Vehicle A</x:v>
      </x:c>
      <x:c r="B27" t="str">
        <x:v>arkansas</x:v>
      </x:c>
      <x:c r="C27" t="str">
        <x:v>6/7/2026</x:v>
      </x:c>
      <x:c r="D27" t="str">
        <x:v>14:04:38 CDT</x:v>
      </x:c>
      <x:c r="E27" t="str">
        <x:v>Chevrolet</x:v>
      </x:c>
      <x:c r="F27" t="str">
        <x:v>Pickup</x:v>
      </x:c>
      <x:c r="G27" t="str">
        <x:v>white</x:v>
      </x:c>
      <x:c r="H27" t="str">
        <x:v>Window Stickers</x:v>
      </x:c>
      <x:c r="I27" t="str">
        <x:v>Sherwood AR PD</x:v>
      </x:c>
      <x:c r="J27" t="str">
        <x:v>#04 Kellogg Acres Rd @ North City Limits NB</x:v>
      </x:c>
      <x:c r="K27" s="38" t="str">
        <x:v>34.87271694</x:v>
      </x:c>
      <x:c r="L27" s="38" t="str">
        <x:v>-92.22918117</x:v>
      </x:c>
      <x:c r="M27" t="str">
        <x:v>#04_Kellogg_Acres_Rd_@_North_City_Limits_NB_2026-06-07T19:04:38.184Z.jpg</x:v>
      </x:c>
    </x:row>
    <x:row r="28">
      <x:c r="A28" t="str">
        <x:v>Vehicle A</x:v>
      </x:c>
      <x:c r="B28" t="str">
        <x:v>arkansas</x:v>
      </x:c>
      <x:c r="C28" t="str">
        <x:v>6/8/2026</x:v>
      </x:c>
      <x:c r="D28" t="str">
        <x:v>17:06:12 CDT</x:v>
      </x:c>
      <x:c r="E28" t="str">
        <x:v>Chevrolet</x:v>
      </x:c>
      <x:c r="F28" t="str">
        <x:v>Pickup</x:v>
      </x:c>
      <x:c r="G28" t="str">
        <x:v>white</x:v>
      </x:c>
      <x:c r="H28" t="str"/>
      <x:c r="I28" t="str">
        <x:v>Sherwood AR PD</x:v>
      </x:c>
      <x:c r="J28" t="str">
        <x:v>#05 Hwy 107 (Northbound) Greens at North Hills</x:v>
      </x:c>
      <x:c r="K28" s="38" t="str">
        <x:v>34.8217311</x:v>
      </x:c>
      <x:c r="L28" s="38" t="str">
        <x:v>-92.2313695</x:v>
      </x:c>
      <x:c r="M28" t="str">
        <x:v>#05_Hwy_107_(Northbound)_Greens_at_North_Hills_2026-06-08T22:06:12.259Z.jpg</x:v>
      </x:c>
    </x:row>
    <x:row r="29">
      <x:c r="A29" t="str">
        <x:v>Vehicle A</x:v>
      </x:c>
      <x:c r="B29" t="str">
        <x:v>arkansas</x:v>
      </x:c>
      <x:c r="C29" t="str">
        <x:v>6/8/2026</x:v>
      </x:c>
      <x:c r="D29" t="str">
        <x:v>17:14:16 CDT</x:v>
      </x:c>
      <x:c r="E29" t="str">
        <x:v>Chevrolet</x:v>
      </x:c>
      <x:c r="F29" t="str">
        <x:v>Pickup</x:v>
      </x:c>
      <x:c r="G29" t="str">
        <x:v>white</x:v>
      </x:c>
      <x:c r="H29" t="str">
        <x:v>Window Stickers</x:v>
      </x:c>
      <x:c r="I29" t="str">
        <x:v>Sherwood AR PD</x:v>
      </x:c>
      <x:c r="J29" t="str">
        <x:v>#04 Kellogg Acres Rd @ North City Limits NB</x:v>
      </x:c>
      <x:c r="K29" s="38" t="str">
        <x:v>34.87271694</x:v>
      </x:c>
      <x:c r="L29" s="38" t="str">
        <x:v>-92.22918117</x:v>
      </x:c>
      <x:c r="M29" t="str">
        <x:v>#04_Kellogg_Acres_Rd_@_North_City_Limits_NB_2026-06-08T22:14:16.654Z.jpg</x:v>
      </x:c>
    </x:row>
    <x:row r="30">
      <x:c r="A30" t="str">
        <x:v>Vehicle A</x:v>
      </x:c>
      <x:c r="B30" t="str">
        <x:v>arkansas</x:v>
      </x:c>
      <x:c r="C30" t="str">
        <x:v>6/11/2026</x:v>
      </x:c>
      <x:c r="D30" t="str">
        <x:v>18:22:59 CDT</x:v>
      </x:c>
      <x:c r="E30" t="str">
        <x:v>Chevrolet</x:v>
      </x:c>
      <x:c r="F30" t="str">
        <x:v>Pickup</x:v>
      </x:c>
      <x:c r="G30" t="str">
        <x:v>white</x:v>
      </x:c>
      <x:c r="H30" t="str">
        <x:v>Window Stickers</x:v>
      </x:c>
      <x:c r="I30" t="str">
        <x:v>Sherwood AR PD</x:v>
      </x:c>
      <x:c r="J30" t="str">
        <x:v>#07 Jacksonville Cutoff Rd @ East Bound City Limits WB</x:v>
      </x:c>
      <x:c r="K30" s="38" t="str">
        <x:v>34.86934534</x:v>
      </x:c>
      <x:c r="L30" s="38" t="str">
        <x:v>-92.17135008</x:v>
      </x:c>
      <x:c r="M30" t="str">
        <x:v>#07_Jacksonville_Cutoff_Rd_@_East_Bound_City_Limits_WB_2026-06-11T23:22:59.455Z.jpg</x:v>
      </x:c>
    </x:row>
    <x:row r="31">
      <x:c r="A31" t="str">
        <x:v>Vehicle A</x:v>
      </x:c>
      <x:c r="B31" t="str">
        <x:v>arkansas</x:v>
      </x:c>
      <x:c r="C31" t="str">
        <x:v>6/13/2026</x:v>
      </x:c>
      <x:c r="D31" t="str">
        <x:v>09:04:57 CDT</x:v>
      </x:c>
      <x:c r="E31" t="str">
        <x:v>Chevrolet</x:v>
      </x:c>
      <x:c r="F31" t="str">
        <x:v>Pickup</x:v>
      </x:c>
      <x:c r="G31" t="str">
        <x:v>white</x:v>
      </x:c>
      <x:c r="H31" t="str"/>
      <x:c r="I31" t="str">
        <x:v>Sherwood AR PD</x:v>
      </x:c>
      <x:c r="J31" t="str">
        <x:v>#05 Hwy 107 (Northbound) Greens at North Hills</x:v>
      </x:c>
      <x:c r="K31" s="38" t="str">
        <x:v>34.8217311</x:v>
      </x:c>
      <x:c r="L31" s="38" t="str">
        <x:v>-92.2313695</x:v>
      </x:c>
      <x:c r="M31" t="str">
        <x:v>#05_Hwy_107_(Northbound)_Greens_at_North_Hills_2026-06-13T14:04:57.428Z.jpg</x:v>
      </x:c>
    </x:row>
    <x:row r="32">
      <x:c r="A32" t="str">
        <x:v>Vehicle A</x:v>
      </x:c>
      <x:c r="B32" t="str">
        <x:v>arkansas</x:v>
      </x:c>
      <x:c r="C32" t="str">
        <x:v>6/13/2026</x:v>
      </x:c>
      <x:c r="D32" t="str">
        <x:v>09:24:23 CDT</x:v>
      </x:c>
      <x:c r="E32" t="str">
        <x:v>Chevrolet</x:v>
      </x:c>
      <x:c r="F32" t="str">
        <x:v>Pickup</x:v>
      </x:c>
      <x:c r="G32" t="str">
        <x:v>white</x:v>
      </x:c>
      <x:c r="H32" t="str">
        <x:v>Window Stickers</x:v>
      </x:c>
      <x:c r="I32" t="str">
        <x:v>Sherwood AR PD</x:v>
      </x:c>
      <x:c r="J32" t="str">
        <x:v>#04 Kellogg Acres Rd @ North City Limits NB</x:v>
      </x:c>
      <x:c r="K32" s="38" t="str">
        <x:v>34.87271694</x:v>
      </x:c>
      <x:c r="L32" s="38" t="str">
        <x:v>-92.22918117</x:v>
      </x:c>
      <x:c r="M32" t="str">
        <x:v>#04_Kellogg_Acres_Rd_@_North_City_Limits_NB_2026-06-13T14:24:23.132Z.jpg</x:v>
      </x:c>
    </x:row>
    <x:row r="33">
      <x:c r="A33" t="str">
        <x:v>Vehicle A</x:v>
      </x:c>
      <x:c r="B33" t="str">
        <x:v>arkansas</x:v>
      </x:c>
      <x:c r="C33" t="str">
        <x:v>6/13/2026</x:v>
      </x:c>
      <x:c r="D33" t="str">
        <x:v>15:28:21 CDT</x:v>
      </x:c>
      <x:c r="E33" t="str">
        <x:v>Chevrolet</x:v>
      </x:c>
      <x:c r="F33" t="str">
        <x:v>Pickup</x:v>
      </x:c>
      <x:c r="G33" t="str">
        <x:v>white</x:v>
      </x:c>
      <x:c r="H33" t="str">
        <x:v>Window Stickers</x:v>
      </x:c>
      <x:c r="I33" t="str">
        <x:v>Sherwood AR PD</x:v>
      </x:c>
      <x:c r="J33" t="str">
        <x:v>#07 Jacksonville Cutoff Rd @ East Bound City Limits WB</x:v>
      </x:c>
      <x:c r="K33" s="38" t="str">
        <x:v>34.86934534</x:v>
      </x:c>
      <x:c r="L33" s="38" t="str">
        <x:v>-92.17135008</x:v>
      </x:c>
      <x:c r="M33" t="str">
        <x:v>#07_Jacksonville_Cutoff_Rd_@_East_Bound_City_Limits_WB_2026-06-13T20:28:21.806Z.jpg</x:v>
      </x:c>
    </x:row>
    <x:row r="34">
      <x:c r="A34" t="str">
        <x:v>Vehicle A</x:v>
      </x:c>
      <x:c r="B34" t="str">
        <x:v>arkansas</x:v>
      </x:c>
      <x:c r="C34" t="str">
        <x:v>6/13/2026</x:v>
      </x:c>
      <x:c r="D34" t="str">
        <x:v>16:40:14 CDT</x:v>
      </x:c>
      <x:c r="E34" t="str">
        <x:v>GMC</x:v>
      </x:c>
      <x:c r="F34" t="str">
        <x:v>Pickup</x:v>
      </x:c>
      <x:c r="G34" t="str">
        <x:v>white</x:v>
      </x:c>
      <x:c r="H34" t="str"/>
      <x:c r="I34" t="str">
        <x:v>Sherwood AR PD</x:v>
      </x:c>
      <x:c r="J34" t="str">
        <x:v>#05 Hwy 107 (Northbound) Greens at North Hills</x:v>
      </x:c>
      <x:c r="K34" s="38" t="str">
        <x:v>34.8217311</x:v>
      </x:c>
      <x:c r="L34" s="38" t="str">
        <x:v>-92.2313695</x:v>
      </x:c>
      <x:c r="M34" t="str">
        <x:v>#05_Hwy_107_(Northbound)_Greens_at_North_Hills_2026-06-13T21:40:14.349Z.jpg</x:v>
      </x:c>
    </x:row>
    <x:row r="35">
      <x:c r="A35" t="str">
        <x:v>Vehicle A</x:v>
      </x:c>
      <x:c r="B35" t="str">
        <x:v>arkansas</x:v>
      </x:c>
      <x:c r="C35" t="str">
        <x:v>6/13/2026</x:v>
      </x:c>
      <x:c r="D35" t="str">
        <x:v>16:46:54 CDT</x:v>
      </x:c>
      <x:c r="E35" t="str">
        <x:v>Chevrolet</x:v>
      </x:c>
      <x:c r="F35" t="str">
        <x:v>Pickup</x:v>
      </x:c>
      <x:c r="G35" t="str">
        <x:v>white</x:v>
      </x:c>
      <x:c r="H35" t="str">
        <x:v>Window Stickers</x:v>
      </x:c>
      <x:c r="I35" t="str">
        <x:v>Sherwood AR PD</x:v>
      </x:c>
      <x:c r="J35" t="str">
        <x:v>#04 Kellogg Acres Rd @ North City Limits NB</x:v>
      </x:c>
      <x:c r="K35" s="38" t="str">
        <x:v>34.87271694</x:v>
      </x:c>
      <x:c r="L35" s="38" t="str">
        <x:v>-92.22918117</x:v>
      </x:c>
      <x:c r="M35" t="str">
        <x:v>#04_Kellogg_Acres_Rd_@_North_City_Limits_NB_2026-06-13T21:46:54.592Z.jpg</x:v>
      </x:c>
    </x:row>
    <x:row r="36">
      <x:c r="A36" t="str">
        <x:v>Vehicle A</x:v>
      </x:c>
      <x:c r="B36" t="str">
        <x:v>arkansas</x:v>
      </x:c>
      <x:c r="C36" t="str">
        <x:v>6/14/2026</x:v>
      </x:c>
      <x:c r="D36" t="str">
        <x:v>10:40:43 CDT</x:v>
      </x:c>
      <x:c r="E36" t="str">
        <x:v>Chevrolet</x:v>
      </x:c>
      <x:c r="F36" t="str">
        <x:v>Pickup</x:v>
      </x:c>
      <x:c r="G36" t="str">
        <x:v>white</x:v>
      </x:c>
      <x:c r="H36" t="str">
        <x:v>Window Stickers</x:v>
      </x:c>
      <x:c r="I36" t="str">
        <x:v>Sherwood AR PD</x:v>
      </x:c>
      <x:c r="J36" t="str">
        <x:v>#01 Brockington Rd (Southbound)</x:v>
      </x:c>
      <x:c r="K36" s="38" t="str">
        <x:v>34.82712949</x:v>
      </x:c>
      <x:c r="L36" s="38" t="str">
        <x:v>-92.19130226</x:v>
      </x:c>
      <x:c r="M36" t="str">
        <x:v>#01_Brockington_Rd_(Southbound)_2026-06-14T15:40:43.439Z.jpg</x:v>
      </x:c>
    </x:row>
    <x:row r="37">
      <x:c r="A37" t="str">
        <x:v>Vehicle A</x:v>
      </x:c>
      <x:c r="B37" t="str">
        <x:v>arkansas</x:v>
      </x:c>
      <x:c r="C37" t="str">
        <x:v>6/14/2026</x:v>
      </x:c>
      <x:c r="D37" t="str">
        <x:v>11:23:18 CDT</x:v>
      </x:c>
      <x:c r="E37" t="str">
        <x:v>Chevrolet</x:v>
      </x:c>
      <x:c r="F37" t="str">
        <x:v>Pickup</x:v>
      </x:c>
      <x:c r="G37" t="str">
        <x:v>white</x:v>
      </x:c>
      <x:c r="H37" t="str">
        <x:v>Window Stickers</x:v>
      </x:c>
      <x:c r="I37" t="str">
        <x:v>Sherwood AR PD</x:v>
      </x:c>
      <x:c r="J37" t="str">
        <x:v>#02 Brockington Rd (Northbound)</x:v>
      </x:c>
      <x:c r="K37" s="38" t="str">
        <x:v>34.82933191</x:v>
      </x:c>
      <x:c r="L37" s="38" t="str">
        <x:v>-92.1910489</x:v>
      </x:c>
      <x:c r="M37" t="str">
        <x:v>#02_Brockington_Rd_(Northbound)_2026-06-14T16:23:18.844Z.jpg</x:v>
      </x:c>
    </x:row>
    <x:row r="38">
      <x:c r="A38" t="str">
        <x:v>Vehicle A</x:v>
      </x:c>
      <x:c r="B38" t="str">
        <x:v>arkansas</x:v>
      </x:c>
      <x:c r="C38" t="str">
        <x:v>6/14/2026</x:v>
      </x:c>
      <x:c r="D38" t="str">
        <x:v>11:31:09 CDT</x:v>
      </x:c>
      <x:c r="E38" t="str">
        <x:v>Chevrolet</x:v>
      </x:c>
      <x:c r="F38" t="str">
        <x:v>Pickup</x:v>
      </x:c>
      <x:c r="G38" t="str">
        <x:v>white</x:v>
      </x:c>
      <x:c r="H38" t="str">
        <x:v>Window Stickers</x:v>
      </x:c>
      <x:c r="I38" t="str">
        <x:v>Sherwood AR PD</x:v>
      </x:c>
      <x:c r="J38" t="str">
        <x:v>#04 Kellogg Acres Rd @ North City Limits NB</x:v>
      </x:c>
      <x:c r="K38" s="38" t="str">
        <x:v>34.87271694</x:v>
      </x:c>
      <x:c r="L38" s="38" t="str">
        <x:v>-92.22918117</x:v>
      </x:c>
      <x:c r="M38" t="str">
        <x:v>#04_Kellogg_Acres_Rd_@_North_City_Limits_NB_2026-06-14T16:31:09.287Z.jpg</x:v>
      </x:c>
    </x:row>
    <x:row r="39">
      <x:c r="A39" t="str">
        <x:v>Vehicle A</x:v>
      </x:c>
      <x:c r="B39" t="str">
        <x:v>arkansas</x:v>
      </x:c>
      <x:c r="C39" t="str">
        <x:v>6/14/2026</x:v>
      </x:c>
      <x:c r="D39" t="str">
        <x:v>14:17:59 CDT</x:v>
      </x:c>
      <x:c r="E39" t="str">
        <x:v>Chevrolet</x:v>
      </x:c>
      <x:c r="F39" t="str">
        <x:v>Pickup</x:v>
      </x:c>
      <x:c r="G39" t="str">
        <x:v>white</x:v>
      </x:c>
      <x:c r="H39" t="str"/>
      <x:c r="I39" t="str">
        <x:v>Sherwood AR PD</x:v>
      </x:c>
      <x:c r="J39" t="str">
        <x:v>#06 Hwy 107 Southbound Near Taco Bell at North Hills Blvd.</x:v>
      </x:c>
      <x:c r="K39" s="38" t="str">
        <x:v>34.82041424</x:v>
      </x:c>
      <x:c r="L39" s="38" t="str">
        <x:v>-92.2329764</x:v>
      </x:c>
      <x:c r="M39" t="str">
        <x:v>#06_Hwy_107_Southbound_Near_Taco_Bell_at_North_Hills_Blvd._2026-06-14T19:17:59.301Z.jpg</x:v>
      </x:c>
    </x:row>
    <x:row r="40">
      <x:c r="A40" t="str">
        <x:v>Vehicle A</x:v>
      </x:c>
      <x:c r="B40" t="str">
        <x:v>arkansas</x:v>
      </x:c>
      <x:c r="C40" t="str">
        <x:v>6/14/2026</x:v>
      </x:c>
      <x:c r="D40" t="str">
        <x:v>15:47:58 CDT</x:v>
      </x:c>
      <x:c r="E40" t="str">
        <x:v>Chevrolet</x:v>
      </x:c>
      <x:c r="F40" t="str">
        <x:v>Pickup</x:v>
      </x:c>
      <x:c r="G40" t="str">
        <x:v>white</x:v>
      </x:c>
      <x:c r="H40" t="str">
        <x:v>Window Stickers</x:v>
      </x:c>
      <x:c r="I40" t="str">
        <x:v>Sherwood AR PD</x:v>
      </x:c>
      <x:c r="J40" t="str">
        <x:v>#05 Hwy 107 (Northbound) Greens at North Hills</x:v>
      </x:c>
      <x:c r="K40" s="38" t="str">
        <x:v>34.8217311</x:v>
      </x:c>
      <x:c r="L40" s="38" t="str">
        <x:v>-92.2313695</x:v>
      </x:c>
      <x:c r="M40" t="str">
        <x:v>#05_Hwy_107_(Northbound)_Greens_at_North_Hills_2026-06-14T20:47:58.900Z.jpg</x:v>
      </x:c>
    </x:row>
    <x:row r="41">
      <x:c r="A41" t="str">
        <x:v>Vehicle A</x:v>
      </x:c>
      <x:c r="B41" t="str">
        <x:v>arkansas</x:v>
      </x:c>
      <x:c r="C41" t="str">
        <x:v>6/14/2026</x:v>
      </x:c>
      <x:c r="D41" t="str">
        <x:v>15:55:24 CDT</x:v>
      </x:c>
      <x:c r="E41" t="str">
        <x:v>Chevrolet</x:v>
      </x:c>
      <x:c r="F41" t="str">
        <x:v>Pickup</x:v>
      </x:c>
      <x:c r="G41" t="str">
        <x:v>white</x:v>
      </x:c>
      <x:c r="H41" t="str">
        <x:v>Window Stickers</x:v>
      </x:c>
      <x:c r="I41" t="str">
        <x:v>Sherwood AR PD</x:v>
      </x:c>
      <x:c r="J41" t="str">
        <x:v>#04 Kellogg Acres Rd @ North City Limits NB</x:v>
      </x:c>
      <x:c r="K41" s="38" t="str">
        <x:v>34.87271694</x:v>
      </x:c>
      <x:c r="L41" s="38" t="str">
        <x:v>-92.22918117</x:v>
      </x:c>
      <x:c r="M41" t="str">
        <x:v>#04_Kellogg_Acres_Rd_@_North_City_Limits_NB_2026-06-14T20:55:24.737Z.jpg</x:v>
      </x:c>
    </x:row>
    <x:row r="42">
      <x:c r="A42" t="str">
        <x:v>Vehicle A</x:v>
      </x:c>
      <x:c r="B42" t="str">
        <x:v>arkansas</x:v>
      </x:c>
      <x:c r="C42" t="str">
        <x:v>6/16/2026</x:v>
      </x:c>
      <x:c r="D42" t="str">
        <x:v>15:28:47 CDT</x:v>
      </x:c>
      <x:c r="E42" t="str">
        <x:v>Chevrolet</x:v>
      </x:c>
      <x:c r="F42" t="str">
        <x:v>Pickup</x:v>
      </x:c>
      <x:c r="G42" t="str">
        <x:v>white</x:v>
      </x:c>
      <x:c r="H42" t="str">
        <x:v>Window Stickers</x:v>
      </x:c>
      <x:c r="I42" t="str">
        <x:v>Sherwood AR PD</x:v>
      </x:c>
      <x:c r="J42" t="str">
        <x:v>#05 Hwy 107 (Northbound) Greens at North Hills</x:v>
      </x:c>
      <x:c r="K42" s="38" t="str">
        <x:v>34.8217311</x:v>
      </x:c>
      <x:c r="L42" s="38" t="str">
        <x:v>-92.2313695</x:v>
      </x:c>
      <x:c r="M42" t="str">
        <x:v>#05_Hwy_107_(Northbound)_Greens_at_North_Hills_2026-06-16T20:28:47.375Z.jpg</x:v>
      </x:c>
    </x:row>
    <x:row r="43">
      <x:c r="A43" t="str">
        <x:v>Vehicle A</x:v>
      </x:c>
      <x:c r="B43" t="str">
        <x:v>arkansas</x:v>
      </x:c>
      <x:c r="C43" t="str">
        <x:v>6/16/2026</x:v>
      </x:c>
      <x:c r="D43" t="str">
        <x:v>15:35:21 CDT</x:v>
      </x:c>
      <x:c r="E43" t="str">
        <x:v>Chevrolet</x:v>
      </x:c>
      <x:c r="F43" t="str">
        <x:v>Pickup</x:v>
      </x:c>
      <x:c r="G43" t="str">
        <x:v>white</x:v>
      </x:c>
      <x:c r="H43" t="str">
        <x:v>Window Stickers</x:v>
      </x:c>
      <x:c r="I43" t="str">
        <x:v>Sherwood AR PD</x:v>
      </x:c>
      <x:c r="J43" t="str">
        <x:v>#04 Kellogg Acres Rd @ North City Limits NB</x:v>
      </x:c>
      <x:c r="K43" s="38" t="str">
        <x:v>34.87271694</x:v>
      </x:c>
      <x:c r="L43" s="38" t="str">
        <x:v>-92.22918117</x:v>
      </x:c>
      <x:c r="M43" t="str">
        <x:v>#04_Kellogg_Acres_Rd_@_North_City_Limits_NB_2026-06-16T20:35:21.406Z.jpg</x:v>
      </x:c>
    </x:row>
    <x:row r="44">
      <x:c r="A44" t="str">
        <x:v>Vehicle A</x:v>
      </x:c>
      <x:c r="B44" t="str">
        <x:v>arkansas</x:v>
      </x:c>
      <x:c r="C44" t="str">
        <x:v>6/18/2026</x:v>
      </x:c>
      <x:c r="D44" t="str">
        <x:v>17:08:50 CDT</x:v>
      </x:c>
      <x:c r="E44" t="str">
        <x:v>Chevrolet</x:v>
      </x:c>
      <x:c r="F44" t="str">
        <x:v>Pickup</x:v>
      </x:c>
      <x:c r="G44" t="str">
        <x:v>white</x:v>
      </x:c>
      <x:c r="H44" t="str"/>
      <x:c r="I44" t="str">
        <x:v>Sherwood AR PD</x:v>
      </x:c>
      <x:c r="J44" t="str">
        <x:v>#05 Hwy 107 (Northbound) Greens at North Hills</x:v>
      </x:c>
      <x:c r="K44" s="38" t="str">
        <x:v>34.8217311</x:v>
      </x:c>
      <x:c r="L44" s="38" t="str">
        <x:v>-92.2313695</x:v>
      </x:c>
      <x:c r="M44" t="str">
        <x:v>#05_Hwy_107_(Northbound)_Greens_at_North_Hills_2026-06-18T22:08:50.096Z.jpg</x:v>
      </x:c>
    </x:row>
    <x:row r="45">
      <x:c r="A45" t="str">
        <x:v>Vehicle A</x:v>
      </x:c>
      <x:c r="B45" t="str">
        <x:v>arkansas</x:v>
      </x:c>
      <x:c r="C45" t="str">
        <x:v>6/18/2026</x:v>
      </x:c>
      <x:c r="D45" t="str">
        <x:v>17:20:58 CDT</x:v>
      </x:c>
      <x:c r="E45" t="str">
        <x:v>Chevrolet</x:v>
      </x:c>
      <x:c r="F45" t="str">
        <x:v>Pickup</x:v>
      </x:c>
      <x:c r="G45" t="str">
        <x:v>white</x:v>
      </x:c>
      <x:c r="H45" t="str">
        <x:v>Window Stickers</x:v>
      </x:c>
      <x:c r="I45" t="str">
        <x:v>Sherwood AR PD</x:v>
      </x:c>
      <x:c r="J45" t="str">
        <x:v>#04 Kellogg Acres Rd @ North City Limits NB</x:v>
      </x:c>
      <x:c r="K45" s="38" t="str">
        <x:v>34.87271694</x:v>
      </x:c>
      <x:c r="L45" s="38" t="str">
        <x:v>-92.22918117</x:v>
      </x:c>
      <x:c r="M45" t="str">
        <x:v>#04_Kellogg_Acres_Rd_@_North_City_Limits_NB_2026-06-18T22:20:58.610Z.jpg</x:v>
      </x:c>
    </x:row>
    <x:row r="46">
      <x:c r="A46" t="str">
        <x:v>Vehicle A</x:v>
      </x:c>
      <x:c r="B46" t="str">
        <x:v>arkansas</x:v>
      </x:c>
      <x:c r="C46" t="str">
        <x:v>6/18/2026</x:v>
      </x:c>
      <x:c r="D46" t="str">
        <x:v>18:00:10 CDT</x:v>
      </x:c>
      <x:c r="E46" t="str">
        <x:v>Chevrolet</x:v>
      </x:c>
      <x:c r="F46" t="str">
        <x:v>Pickup</x:v>
      </x:c>
      <x:c r="G46" t="str">
        <x:v>white</x:v>
      </x:c>
      <x:c r="H46" t="str">
        <x:v>Window Stickers</x:v>
      </x:c>
      <x:c r="I46" t="str">
        <x:v>Sherwood AR PD</x:v>
      </x:c>
      <x:c r="J46" t="str">
        <x:v>#06 Jacksonville Cutoff Rd @ Old West Main EB</x:v>
      </x:c>
      <x:c r="K46" s="38" t="str">
        <x:v>34.86822463</x:v>
      </x:c>
      <x:c r="L46" s="38" t="str">
        <x:v>-92.17250685</x:v>
      </x:c>
      <x:c r="M46" t="str">
        <x:v>#06_Jacksonville_Cutoff_Rd_@_Old_West_Main_EB_2026-06-18T23:00:10.890Z.jpg</x:v>
      </x:c>
    </x:row>
    <x:row r="47">
      <x:c r="A47" t="str">
        <x:v>Vehicle A</x:v>
      </x:c>
      <x:c r="B47" t="str">
        <x:v>arkansas</x:v>
      </x:c>
      <x:c r="C47" t="str">
        <x:v>6/18/2026</x:v>
      </x:c>
      <x:c r="D47" t="str">
        <x:v>19:03:00 CDT</x:v>
      </x:c>
      <x:c r="E47" t="str">
        <x:v>Chevrolet</x:v>
      </x:c>
      <x:c r="F47" t="str">
        <x:v>Pickup</x:v>
      </x:c>
      <x:c r="G47" t="str">
        <x:v>white</x:v>
      </x:c>
      <x:c r="H47" t="str">
        <x:v>Window Stickers</x:v>
      </x:c>
      <x:c r="I47" t="str">
        <x:v>Sherwood AR PD</x:v>
      </x:c>
      <x:c r="J47" t="str">
        <x:v>#07 Jacksonville Cutoff Rd @ East Bound City Limits WB</x:v>
      </x:c>
      <x:c r="K47" s="38" t="str">
        <x:v>34.86934534</x:v>
      </x:c>
      <x:c r="L47" s="38" t="str">
        <x:v>-92.17135008</x:v>
      </x:c>
      <x:c r="M47" t="str">
        <x:v>#07_Jacksonville_Cutoff_Rd_@_East_Bound_City_Limits_WB_2026-06-19T00:03:00.556Z.jpg</x:v>
      </x:c>
    </x:row>
    <x:row r="48">
      <x:c r="A48" t="str">
        <x:v>Vehicle A</x:v>
      </x:c>
      <x:c r="B48" t="str">
        <x:v>arkansas</x:v>
      </x:c>
      <x:c r="C48" t="str">
        <x:v>6/19/2026</x:v>
      </x:c>
      <x:c r="D48" t="str">
        <x:v>10:40:04 CDT</x:v>
      </x:c>
      <x:c r="E48" t="str">
        <x:v>Chevrolet</x:v>
      </x:c>
      <x:c r="F48" t="str">
        <x:v>Pickup</x:v>
      </x:c>
      <x:c r="G48" t="str">
        <x:v>white</x:v>
      </x:c>
      <x:c r="H48" t="str">
        <x:v>Window Stickers</x:v>
      </x:c>
      <x:c r="I48" t="str">
        <x:v>Sherwood AR PD</x:v>
      </x:c>
      <x:c r="J48" t="str">
        <x:v>#09 Landers Rd @ Tractor Supply NB</x:v>
      </x:c>
      <x:c r="K48" s="38" t="str">
        <x:v>34.80420882</x:v>
      </x:c>
      <x:c r="L48" s="38" t="str">
        <x:v>-92.21140889</x:v>
      </x:c>
      <x:c r="M48" t="str">
        <x:v>#09_Landers_Rd_@_Tractor_Supply_NB_2026-06-19T15:40:04.685Z.jpg</x:v>
      </x:c>
    </x:row>
    <x:row r="49">
      <x:c r="A49" t="str">
        <x:v>Vehicle A</x:v>
      </x:c>
      <x:c r="B49" t="str">
        <x:v>arkansas</x:v>
      </x:c>
      <x:c r="C49" t="str">
        <x:v>6/19/2026</x:v>
      </x:c>
      <x:c r="D49" t="str">
        <x:v>11:18:19 CDT</x:v>
      </x:c>
      <x:c r="E49" t="str">
        <x:v>Chevrolet</x:v>
      </x:c>
      <x:c r="F49" t="str">
        <x:v>Pickup</x:v>
      </x:c>
      <x:c r="G49" t="str">
        <x:v>white</x:v>
      </x:c>
      <x:c r="H49" t="str">
        <x:v>Window Stickers</x:v>
      </x:c>
      <x:c r="I49" t="str">
        <x:v>Sherwood AR PD</x:v>
      </x:c>
      <x:c r="J49" t="str">
        <x:v>#10 Wildwood Ave @ Heritage Dr WB</x:v>
      </x:c>
      <x:c r="K49" s="38" t="str">
        <x:v>34.81442518</x:v>
      </x:c>
      <x:c r="L49" s="38" t="str">
        <x:v>-92.20538867</x:v>
      </x:c>
      <x:c r="M49" t="str">
        <x:v>#10_Wildwood_Ave_@_Heritage_Dr_WB_2026-06-19T16:18:19.425Z.jpg</x:v>
      </x:c>
    </x:row>
    <x:row r="50">
      <x:c r="A50" t="str">
        <x:v>Vehicle A</x:v>
      </x:c>
      <x:c r="B50" t="str">
        <x:v>arkansas</x:v>
      </x:c>
      <x:c r="C50" t="str">
        <x:v>6/19/2026</x:v>
      </x:c>
      <x:c r="D50" t="str">
        <x:v>11:31:59 CDT</x:v>
      </x:c>
      <x:c r="E50" t="str">
        <x:v>Chevrolet</x:v>
      </x:c>
      <x:c r="F50" t="str">
        <x:v>Pickup</x:v>
      </x:c>
      <x:c r="G50" t="str">
        <x:v>white</x:v>
      </x:c>
      <x:c r="H50" t="str"/>
      <x:c r="I50" t="str">
        <x:v>Sherwood AR PD</x:v>
      </x:c>
      <x:c r="J50" t="str">
        <x:v>#02 Warden Rd @ Saltgrass Steakhouse SB</x:v>
      </x:c>
      <x:c r="K50" s="38" t="str">
        <x:v>34.81258891</x:v>
      </x:c>
      <x:c r="L50" s="38" t="str">
        <x:v>-92.20502351</x:v>
      </x:c>
      <x:c r="M50" t="str">
        <x:v>#02_Warden_Rd_@_Saltgrass_Steakhouse_SB_2026-06-19T16:31:59.070Z.jpg</x:v>
      </x:c>
    </x:row>
    <x:row r="51">
      <x:c r="A51" t="str">
        <x:v>Vehicle A</x:v>
      </x:c>
      <x:c r="B51" t="str">
        <x:v>arkansas</x:v>
      </x:c>
      <x:c r="C51" t="str">
        <x:v>6/19/2026</x:v>
      </x:c>
      <x:c r="D51" t="str">
        <x:v>13:11:50 CDT</x:v>
      </x:c>
      <x:c r="E51" t="str">
        <x:v>Chevrolet</x:v>
      </x:c>
      <x:c r="F51" t="str">
        <x:v>Pickup</x:v>
      </x:c>
      <x:c r="G51" t="str">
        <x:v>white</x:v>
      </x:c>
      <x:c r="H51" t="str"/>
      <x:c r="I51" t="str">
        <x:v>Sherwood AR PD</x:v>
      </x:c>
      <x:c r="J51" t="str">
        <x:v>#05 Hwy 107 (Northbound) Greens at North Hills</x:v>
      </x:c>
      <x:c r="K51" s="38" t="str">
        <x:v>34.8217311</x:v>
      </x:c>
      <x:c r="L51" s="38" t="str">
        <x:v>-92.2313695</x:v>
      </x:c>
      <x:c r="M51" t="str">
        <x:v>#05_Hwy_107_(Northbound)_Greens_at_North_Hills_2026-06-19T18:11:50.667Z.jpg</x:v>
      </x:c>
    </x:row>
    <x:row r="52">
      <x:c r="A52" t="str">
        <x:v>Vehicle A</x:v>
      </x:c>
      <x:c r="B52" t="str">
        <x:v>arkansas</x:v>
      </x:c>
      <x:c r="C52" t="str">
        <x:v>6/19/2026</x:v>
      </x:c>
      <x:c r="D52" t="str">
        <x:v>13:17:47 CDT</x:v>
      </x:c>
      <x:c r="E52" t="str">
        <x:v>Chevrolet</x:v>
      </x:c>
      <x:c r="F52" t="str">
        <x:v>Pickup</x:v>
      </x:c>
      <x:c r="G52" t="str">
        <x:v>white</x:v>
      </x:c>
      <x:c r="H52" t="str">
        <x:v>Window Stickers</x:v>
      </x:c>
      <x:c r="I52" t="str">
        <x:v>Sherwood AR PD</x:v>
      </x:c>
      <x:c r="J52" t="str">
        <x:v>#04 Kellogg Acres Rd @ North City Limits NB</x:v>
      </x:c>
      <x:c r="K52" s="38" t="str">
        <x:v>34.87271694</x:v>
      </x:c>
      <x:c r="L52" s="38" t="str">
        <x:v>-92.22918117</x:v>
      </x:c>
      <x:c r="M52" t="str">
        <x:v>#04_Kellogg_Acres_Rd_@_North_City_Limits_NB_2026-06-19T18:17:47.154Z.jpg</x:v>
      </x:c>
    </x:row>
    <x:row r="53">
      <x:c r="A53" t="str">
        <x:v>Vehicle A</x:v>
      </x:c>
      <x:c r="B53" t="str">
        <x:v>arkansas</x:v>
      </x:c>
      <x:c r="C53" t="str">
        <x:v>6/19/2026</x:v>
      </x:c>
      <x:c r="D53" t="str">
        <x:v>17:27:18 CDT</x:v>
      </x:c>
      <x:c r="E53" t="str">
        <x:v>Chevrolet</x:v>
      </x:c>
      <x:c r="F53" t="str">
        <x:v>Pickup</x:v>
      </x:c>
      <x:c r="G53" t="str">
        <x:v>white</x:v>
      </x:c>
      <x:c r="H53" t="str"/>
      <x:c r="I53" t="str">
        <x:v>Sherwood AR PD</x:v>
      </x:c>
      <x:c r="J53" t="str">
        <x:v>#05 Hwy 107 (Northbound) Greens at North Hills</x:v>
      </x:c>
      <x:c r="K53" s="38" t="str">
        <x:v>34.8217311</x:v>
      </x:c>
      <x:c r="L53" s="38" t="str">
        <x:v>-92.2313695</x:v>
      </x:c>
      <x:c r="M53" t="str">
        <x:v>#05_Hwy_107_(Northbound)_Greens_at_North_Hills_2026-06-19T22:27:18.040Z.jpg</x:v>
      </x:c>
    </x:row>
    <x:row r="54">
      <x:c r="A54" t="str">
        <x:v>Vehicle A</x:v>
      </x:c>
      <x:c r="B54" t="str">
        <x:v>arkansas</x:v>
      </x:c>
      <x:c r="C54" t="str">
        <x:v>6/19/2026</x:v>
      </x:c>
      <x:c r="D54" t="str">
        <x:v>17:34:45 CDT</x:v>
      </x:c>
      <x:c r="E54" t="str">
        <x:v>Chevrolet</x:v>
      </x:c>
      <x:c r="F54" t="str">
        <x:v>Pickup</x:v>
      </x:c>
      <x:c r="G54" t="str">
        <x:v>white</x:v>
      </x:c>
      <x:c r="H54" t="str">
        <x:v>Window Stickers</x:v>
      </x:c>
      <x:c r="I54" t="str">
        <x:v>Sherwood AR PD</x:v>
      </x:c>
      <x:c r="J54" t="str">
        <x:v>#04 Kellogg Acres Rd @ North City Limits NB</x:v>
      </x:c>
      <x:c r="K54" s="38" t="str">
        <x:v>34.87271694</x:v>
      </x:c>
      <x:c r="L54" s="38" t="str">
        <x:v>-92.22918117</x:v>
      </x:c>
      <x:c r="M54" t="str">
        <x:v>#04_Kellogg_Acres_Rd_@_North_City_Limits_NB_2026-06-19T22:34:45.190Z.jpg</x:v>
      </x:c>
    </x:row>
    <x:row r="55">
      <x:c r="A55" t="str">
        <x:v>Vehicle A</x:v>
      </x:c>
      <x:c r="B55" t="str">
        <x:v>arkansas</x:v>
      </x:c>
      <x:c r="C55" t="str">
        <x:v>6/20/2026</x:v>
      </x:c>
      <x:c r="D55" t="str">
        <x:v>08:55:10 CDT</x:v>
      </x:c>
      <x:c r="E55" t="str">
        <x:v>Chevrolet</x:v>
      </x:c>
      <x:c r="F55" t="str">
        <x:v>Pickup</x:v>
      </x:c>
      <x:c r="G55" t="str">
        <x:v>white</x:v>
      </x:c>
      <x:c r="H55" t="str">
        <x:v>Window Stickers</x:v>
      </x:c>
      <x:c r="I55" t="str">
        <x:v>Sherwood AR PD</x:v>
      </x:c>
      <x:c r="J55" t="str">
        <x:v>#05 West Maryland Ave (Westbound)</x:v>
      </x:c>
      <x:c r="K55" s="38" t="str">
        <x:v>34.84075957</x:v>
      </x:c>
      <x:c r="L55" s="38" t="str">
        <x:v>-92.24330977</x:v>
      </x:c>
      <x:c r="M55" t="str">
        <x:v>#05_West_Maryland_Ave_(Westbound)_2026-06-20T13:55:10.814Z.jpg</x:v>
      </x:c>
    </x:row>
    <x:row r="56">
      <x:c r="A56" t="str">
        <x:v>Vehicle A</x:v>
      </x:c>
      <x:c r="B56" t="str">
        <x:v>arkansas</x:v>
      </x:c>
      <x:c r="C56" t="str">
        <x:v>6/20/2026</x:v>
      </x:c>
      <x:c r="D56" t="str">
        <x:v>17:26:11 CDT</x:v>
      </x:c>
      <x:c r="E56" t="str">
        <x:v>Chevrolet</x:v>
      </x:c>
      <x:c r="F56" t="str">
        <x:v>Pickup</x:v>
      </x:c>
      <x:c r="G56" t="str">
        <x:v>white</x:v>
      </x:c>
      <x:c r="H56" t="str"/>
      <x:c r="I56" t="str">
        <x:v>Sherwood AR PD</x:v>
      </x:c>
      <x:c r="J56" t="str">
        <x:v>#05 Hwy 107 (Northbound) Greens at North Hills</x:v>
      </x:c>
      <x:c r="K56" s="38" t="str">
        <x:v>34.8217311</x:v>
      </x:c>
      <x:c r="L56" s="38" t="str">
        <x:v>-92.2313695</x:v>
      </x:c>
      <x:c r="M56" t="str">
        <x:v>#05_Hwy_107_(Northbound)_Greens_at_North_Hills_2026-06-20T22:26:11.254Z.jpg</x:v>
      </x:c>
    </x:row>
    <x:row r="57">
      <x:c r="A57" t="str">
        <x:v>Vehicle A</x:v>
      </x:c>
      <x:c r="B57" t="str">
        <x:v>arkansas</x:v>
      </x:c>
      <x:c r="C57" t="str">
        <x:v>6/20/2026</x:v>
      </x:c>
      <x:c r="D57" t="str">
        <x:v>17:32:49 CDT</x:v>
      </x:c>
      <x:c r="E57" t="str">
        <x:v>Chevrolet</x:v>
      </x:c>
      <x:c r="F57" t="str">
        <x:v>Pickup</x:v>
      </x:c>
      <x:c r="G57" t="str">
        <x:v>white</x:v>
      </x:c>
      <x:c r="H57" t="str">
        <x:v>Window Stickers</x:v>
      </x:c>
      <x:c r="I57" t="str">
        <x:v>Sherwood AR PD</x:v>
      </x:c>
      <x:c r="J57" t="str">
        <x:v>#04 Kellogg Acres Rd @ North City Limits NB</x:v>
      </x:c>
      <x:c r="K57" s="38" t="str">
        <x:v>34.87271694</x:v>
      </x:c>
      <x:c r="L57" s="38" t="str">
        <x:v>-92.22918117</x:v>
      </x:c>
      <x:c r="M57" t="str">
        <x:v>#04_Kellogg_Acres_Rd_@_North_City_Limits_NB_2026-06-20T22:32:49.048Z.jpg</x:v>
      </x:c>
    </x:row>
    <x:row r="58">
      <x:c r="A58" t="str">
        <x:v>Vehicle A</x:v>
      </x:c>
      <x:c r="B58" t="str">
        <x:v>arkansas</x:v>
      </x:c>
      <x:c r="C58" t="str">
        <x:v>6/21/2026</x:v>
      </x:c>
      <x:c r="D58" t="str">
        <x:v>11:55:00 CDT</x:v>
      </x:c>
      <x:c r="E58" t="str">
        <x:v>Chevrolet</x:v>
      </x:c>
      <x:c r="F58" t="str">
        <x:v>Pickup</x:v>
      </x:c>
      <x:c r="G58" t="str">
        <x:v>white</x:v>
      </x:c>
      <x:c r="H58" t="str">
        <x:v>Window Stickers</x:v>
      </x:c>
      <x:c r="I58" t="str">
        <x:v>Sherwood AR PD</x:v>
      </x:c>
      <x:c r="J58" t="str">
        <x:v>#07 Hwy 107 (Southbound) Near General Samuels</x:v>
      </x:c>
      <x:c r="K58" s="38" t="str">
        <x:v>34.88060988</x:v>
      </x:c>
      <x:c r="L58" s="38" t="str">
        <x:v>-92.18205206</x:v>
      </x:c>
      <x:c r="M58" t="str">
        <x:v>#07_Hwy_107_(Southbound)_Near_General_Samuels_2026-06-21T16:55:00.997Z.jpg</x:v>
      </x:c>
    </x:row>
    <x:row r="59">
      <x:c r="A59" t="str">
        <x:v>Vehicle A</x:v>
      </x:c>
      <x:c r="B59" t="str">
        <x:v>arkansas</x:v>
      </x:c>
      <x:c r="C59" t="str">
        <x:v>6/21/2026</x:v>
      </x:c>
      <x:c r="D59" t="str">
        <x:v>12:48:28 CDT</x:v>
      </x:c>
      <x:c r="E59" t="str">
        <x:v>Chevrolet</x:v>
      </x:c>
      <x:c r="F59" t="str">
        <x:v>Pickup</x:v>
      </x:c>
      <x:c r="G59" t="str">
        <x:v>white</x:v>
      </x:c>
      <x:c r="H59" t="str"/>
      <x:c r="I59" t="str">
        <x:v>Sherwood AR PD</x:v>
      </x:c>
      <x:c r="J59" t="str">
        <x:v>#06 Hwy 107 Southbound Near Taco Bell at North Hills Blvd.</x:v>
      </x:c>
      <x:c r="K59" s="38" t="str">
        <x:v>34.82041424</x:v>
      </x:c>
      <x:c r="L59" s="38" t="str">
        <x:v>-92.2329764</x:v>
      </x:c>
      <x:c r="M59" t="str">
        <x:v>#06_Hwy_107_Southbound_Near_Taco_Bell_at_North_Hills_Blvd._2026-06-21T17:48:28.053Z.jpg</x:v>
      </x:c>
    </x:row>
    <x:row r="60">
      <x:c r="A60" t="str">
        <x:v>Vehicle A</x:v>
      </x:c>
      <x:c r="B60" t="str">
        <x:v>arkansas</x:v>
      </x:c>
      <x:c r="C60" t="str">
        <x:v>6/21/2026</x:v>
      </x:c>
      <x:c r="D60" t="str">
        <x:v>15:01:23 CDT</x:v>
      </x:c>
      <x:c r="E60" t="str">
        <x:v>Chevrolet</x:v>
      </x:c>
      <x:c r="F60" t="str">
        <x:v>Pickup</x:v>
      </x:c>
      <x:c r="G60" t="str">
        <x:v>white</x:v>
      </x:c>
      <x:c r="H60" t="str"/>
      <x:c r="I60" t="str">
        <x:v>Sherwood AR PD</x:v>
      </x:c>
      <x:c r="J60" t="str">
        <x:v>#05 Hwy 107 (Northbound) Greens at North Hills</x:v>
      </x:c>
      <x:c r="K60" s="38" t="str">
        <x:v>34.8217311</x:v>
      </x:c>
      <x:c r="L60" s="38" t="str">
        <x:v>-92.2313695</x:v>
      </x:c>
      <x:c r="M60" t="str">
        <x:v>#05_Hwy_107_(Northbound)_Greens_at_North_Hills_2026-06-21T20:01:23.162Z.jpg</x:v>
      </x:c>
    </x:row>
    <x:row r="61">
      <x:c r="A61" t="str">
        <x:v>Vehicle A</x:v>
      </x:c>
      <x:c r="B61" t="str">
        <x:v>arkansas</x:v>
      </x:c>
      <x:c r="C61" t="str">
        <x:v>6/21/2026</x:v>
      </x:c>
      <x:c r="D61" t="str">
        <x:v>15:07:57 CDT</x:v>
      </x:c>
      <x:c r="E61" t="str">
        <x:v>Chevrolet</x:v>
      </x:c>
      <x:c r="F61" t="str">
        <x:v>Pickup</x:v>
      </x:c>
      <x:c r="G61" t="str">
        <x:v>white</x:v>
      </x:c>
      <x:c r="H61" t="str">
        <x:v>Window Stickers</x:v>
      </x:c>
      <x:c r="I61" t="str">
        <x:v>Sherwood AR PD</x:v>
      </x:c>
      <x:c r="J61" t="str">
        <x:v>#04 Kellogg Acres Rd @ North City Limits NB</x:v>
      </x:c>
      <x:c r="K61" s="38" t="str">
        <x:v>34.87271694</x:v>
      </x:c>
      <x:c r="L61" s="38" t="str">
        <x:v>-92.22918117</x:v>
      </x:c>
      <x:c r="M61" t="str">
        <x:v>#04_Kellogg_Acres_Rd_@_North_City_Limits_NB_2026-06-21T20:07:57.056Z.jpg</x:v>
      </x:c>
    </x:row>
    <x:row r="62">
      <x:c r="A62" t="str">
        <x:v>Vehicle A</x:v>
      </x:c>
      <x:c r="B62" t="str">
        <x:v>arkansas</x:v>
      </x:c>
      <x:c r="C62" t="str">
        <x:v>6/23/2026</x:v>
      </x:c>
      <x:c r="D62" t="str">
        <x:v>08:54:10 CDT</x:v>
      </x:c>
      <x:c r="E62" t="str">
        <x:v>Chevrolet</x:v>
      </x:c>
      <x:c r="F62" t="str">
        <x:v>Pickup</x:v>
      </x:c>
      <x:c r="G62" t="str">
        <x:v>white</x:v>
      </x:c>
      <x:c r="H62" t="str">
        <x:v>Window Stickers</x:v>
      </x:c>
      <x:c r="I62" t="str">
        <x:v>Sherwood AR PD</x:v>
      </x:c>
      <x:c r="J62" t="str">
        <x:v>#04 Kellogg Acres Rd @ North City Limits NB</x:v>
      </x:c>
      <x:c r="K62" s="38" t="str">
        <x:v>34.87271694</x:v>
      </x:c>
      <x:c r="L62" s="38" t="str">
        <x:v>-92.22918117</x:v>
      </x:c>
      <x:c r="M62" t="str">
        <x:v>#04_Kellogg_Acres_Rd_@_North_City_Limits_NB_2026-06-23T13:54:10.955Z.jpg</x:v>
      </x:c>
    </x:row>
    <x:row r="63">
      <x:c r="A63" t="str">
        <x:v>Vehicle A</x:v>
      </x:c>
      <x:c r="B63" t="str">
        <x:v>arkansas</x:v>
      </x:c>
      <x:c r="C63" t="str">
        <x:v>6/23/2026</x:v>
      </x:c>
      <x:c r="D63" t="str">
        <x:v>16:27:50 CDT</x:v>
      </x:c>
      <x:c r="E63" t="str">
        <x:v>Chevrolet</x:v>
      </x:c>
      <x:c r="F63" t="str">
        <x:v>Pickup</x:v>
      </x:c>
      <x:c r="G63" t="str">
        <x:v>white</x:v>
      </x:c>
      <x:c r="H63" t="str"/>
      <x:c r="I63" t="str">
        <x:v>Sherwood AR PD</x:v>
      </x:c>
      <x:c r="J63" t="str">
        <x:v>#05 Hwy 107 (Northbound) Greens at North Hills</x:v>
      </x:c>
      <x:c r="K63" s="38" t="str">
        <x:v>34.8217311</x:v>
      </x:c>
      <x:c r="L63" s="38" t="str">
        <x:v>-92.2313695</x:v>
      </x:c>
      <x:c r="M63" t="str">
        <x:v>#05_Hwy_107_(Northbound)_Greens_at_North_Hills_2026-06-23T21:27:50.582Z.jpg</x:v>
      </x:c>
    </x:row>
    <x:row r="64">
      <x:c r="A64" t="str">
        <x:v>Vehicle A</x:v>
      </x:c>
      <x:c r="B64" t="str">
        <x:v>arkansas</x:v>
      </x:c>
      <x:c r="C64" t="str">
        <x:v>6/23/2026</x:v>
      </x:c>
      <x:c r="D64" t="str">
        <x:v>16:43:48 CDT</x:v>
      </x:c>
      <x:c r="E64" t="str">
        <x:v>Chevrolet</x:v>
      </x:c>
      <x:c r="F64" t="str">
        <x:v>Pickup</x:v>
      </x:c>
      <x:c r="G64" t="str">
        <x:v>white</x:v>
      </x:c>
      <x:c r="H64" t="str">
        <x:v>Window Stickers</x:v>
      </x:c>
      <x:c r="I64" t="str">
        <x:v>Sherwood AR PD</x:v>
      </x:c>
      <x:c r="J64" t="str">
        <x:v>#04 Kellogg Acres Rd @ North City Limits NB</x:v>
      </x:c>
      <x:c r="K64" s="38" t="str">
        <x:v>34.87271694</x:v>
      </x:c>
      <x:c r="L64" s="38" t="str">
        <x:v>-92.22918117</x:v>
      </x:c>
      <x:c r="M64" t="str">
        <x:v>#04_Kellogg_Acres_Rd_@_North_City_Limits_NB_2026-06-23T21:43:48.235Z.jpg</x:v>
      </x:c>
    </x:row>
    <x:row r="65">
      <x:c r="A65" t="str">
        <x:v>Vehicle A</x:v>
      </x:c>
      <x:c r="B65" t="str">
        <x:v>arkansas</x:v>
      </x:c>
      <x:c r="C65" t="str">
        <x:v>6/24/2026</x:v>
      </x:c>
      <x:c r="D65" t="str">
        <x:v>14:53:47 CDT</x:v>
      </x:c>
      <x:c r="E65" t="str">
        <x:v>Chevrolet</x:v>
      </x:c>
      <x:c r="F65" t="str">
        <x:v>Pickup</x:v>
      </x:c>
      <x:c r="G65" t="str">
        <x:v>white</x:v>
      </x:c>
      <x:c r="H65" t="str"/>
      <x:c r="I65" t="str">
        <x:v>Sherwood AR PD</x:v>
      </x:c>
      <x:c r="J65" t="str">
        <x:v>#05 Hwy 107 (Northbound) Greens at North Hills</x:v>
      </x:c>
      <x:c r="K65" s="38" t="str">
        <x:v>34.8217311</x:v>
      </x:c>
      <x:c r="L65" s="38" t="str">
        <x:v>-92.2313695</x:v>
      </x:c>
      <x:c r="M65" t="str">
        <x:v>#05_Hwy_107_(Northbound)_Greens_at_North_Hills_2026-06-24T19:53:47.393Z.jpg</x:v>
      </x:c>
    </x:row>
    <x:row r="66">
      <x:c r="A66" t="str">
        <x:v>Vehicle A</x:v>
      </x:c>
      <x:c r="B66" t="str">
        <x:v>arkansas</x:v>
      </x:c>
      <x:c r="C66" t="str">
        <x:v>6/24/2026</x:v>
      </x:c>
      <x:c r="D66" t="str">
        <x:v>14:59:41 CDT</x:v>
      </x:c>
      <x:c r="E66" t="str">
        <x:v>Chevrolet</x:v>
      </x:c>
      <x:c r="F66" t="str">
        <x:v>Pickup</x:v>
      </x:c>
      <x:c r="G66" t="str">
        <x:v>white</x:v>
      </x:c>
      <x:c r="H66" t="str">
        <x:v>Window Stickers</x:v>
      </x:c>
      <x:c r="I66" t="str">
        <x:v>Sherwood AR PD</x:v>
      </x:c>
      <x:c r="J66" t="str">
        <x:v>#04 Kellogg Acres Rd @ North City Limits NB</x:v>
      </x:c>
      <x:c r="K66" s="38" t="str">
        <x:v>34.87271694</x:v>
      </x:c>
      <x:c r="L66" s="38" t="str">
        <x:v>-92.22918117</x:v>
      </x:c>
      <x:c r="M66" t="str">
        <x:v>#04_Kellogg_Acres_Rd_@_North_City_Limits_NB_2026-06-24T19:59:41.969Z.jpg</x:v>
      </x:c>
    </x:row>
    <x:row r="67">
      <x:c r="A67" t="str">
        <x:v>Vehicle A</x:v>
      </x:c>
      <x:c r="B67" t="str">
        <x:v>arkansas</x:v>
      </x:c>
      <x:c r="C67" t="str">
        <x:v>6/26/2026</x:v>
      </x:c>
      <x:c r="D67" t="str">
        <x:v>10:00:31 CDT</x:v>
      </x:c>
      <x:c r="E67" t="str">
        <x:v>Chevrolet</x:v>
      </x:c>
      <x:c r="F67" t="str">
        <x:v>Pickup</x:v>
      </x:c>
      <x:c r="G67" t="str">
        <x:v>white</x:v>
      </x:c>
      <x:c r="H67" t="str">
        <x:v>Window Stickers</x:v>
      </x:c>
      <x:c r="I67" t="str">
        <x:v>Sherwood AR PD</x:v>
      </x:c>
      <x:c r="J67" t="str">
        <x:v>#02 Brockington Rd (Northbound)</x:v>
      </x:c>
      <x:c r="K67" s="38" t="str">
        <x:v>34.82933191</x:v>
      </x:c>
      <x:c r="L67" s="38" t="str">
        <x:v>-92.1910489</x:v>
      </x:c>
      <x:c r="M67" t="str">
        <x:v>#02_Brockington_Rd_(Northbound)_2026-06-26T15:00:31.041Z.jpg</x:v>
      </x:c>
    </x:row>
    <x:row r="68">
      <x:c r="A68" t="str">
        <x:v>Vehicle A</x:v>
      </x:c>
      <x:c r="B68" t="str">
        <x:v>arkansas</x:v>
      </x:c>
      <x:c r="C68" t="str">
        <x:v>6/26/2026</x:v>
      </x:c>
      <x:c r="D68" t="str">
        <x:v>15:06:14 CDT</x:v>
      </x:c>
      <x:c r="E68" t="str">
        <x:v>GMC</x:v>
      </x:c>
      <x:c r="F68" t="str">
        <x:v>Pickup</x:v>
      </x:c>
      <x:c r="G68" t="str">
        <x:v>white</x:v>
      </x:c>
      <x:c r="H68" t="str"/>
      <x:c r="I68" t="str">
        <x:v>Sherwood AR PD</x:v>
      </x:c>
      <x:c r="J68" t="str">
        <x:v>#06 Hwy 107 Southbound Near Taco Bell at North Hills Blvd.</x:v>
      </x:c>
      <x:c r="K68" s="38" t="str">
        <x:v>34.82041424</x:v>
      </x:c>
      <x:c r="L68" s="38" t="str">
        <x:v>-92.2329764</x:v>
      </x:c>
      <x:c r="M68" t="str">
        <x:v>#06_Hwy_107_Southbound_Near_Taco_Bell_at_North_Hills_Blvd._2026-06-26T20:06:14.938Z.jpg</x:v>
      </x:c>
    </x:row>
    <x:row r="69">
      <x:c r="A69" t="str">
        <x:v>Vehicle A</x:v>
      </x:c>
      <x:c r="B69" t="str">
        <x:v>arkansas</x:v>
      </x:c>
      <x:c r="C69" t="str">
        <x:v>6/26/2026</x:v>
      </x:c>
      <x:c r="D69" t="str">
        <x:v>15:06:50 CDT</x:v>
      </x:c>
      <x:c r="E69" t="str">
        <x:v>GMC</x:v>
      </x:c>
      <x:c r="F69" t="str">
        <x:v>Pickup</x:v>
      </x:c>
      <x:c r="G69" t="str">
        <x:v>white</x:v>
      </x:c>
      <x:c r="H69" t="str"/>
      <x:c r="I69" t="str">
        <x:v>Sherwood AR PD</x:v>
      </x:c>
      <x:c r="J69" t="str">
        <x:v>#06 Hwy 107 Southbound Near Taco Bell at North Hills Blvd.</x:v>
      </x:c>
      <x:c r="K69" s="38" t="str">
        <x:v>34.82041424</x:v>
      </x:c>
      <x:c r="L69" s="38" t="str">
        <x:v>-92.2329764</x:v>
      </x:c>
      <x:c r="M69" t="str">
        <x:v>#06_Hwy_107_Southbound_Near_Taco_Bell_at_North_Hills_Blvd._2026-06-26T20:06:50.729Z.jpg</x:v>
      </x:c>
    </x:row>
    <x:row r="70">
      <x:c r="A70" t="str">
        <x:v>Vehicle A</x:v>
      </x:c>
      <x:c r="B70" t="str">
        <x:v>arkansas</x:v>
      </x:c>
      <x:c r="C70" t="str">
        <x:v>6/26/2026</x:v>
      </x:c>
      <x:c r="D70" t="str">
        <x:v>15:07:10 CDT</x:v>
      </x:c>
      <x:c r="E70" t="str">
        <x:v>Chevrolet</x:v>
      </x:c>
      <x:c r="F70" t="str">
        <x:v>Pickup</x:v>
      </x:c>
      <x:c r="G70" t="str">
        <x:v>white</x:v>
      </x:c>
      <x:c r="H70" t="str"/>
      <x:c r="I70" t="str">
        <x:v>Sherwood AR PD</x:v>
      </x:c>
      <x:c r="J70" t="str">
        <x:v>#06 Hwy 107 Southbound Near Taco Bell at North Hills Blvd.</x:v>
      </x:c>
      <x:c r="K70" s="38" t="str">
        <x:v>34.82041424</x:v>
      </x:c>
      <x:c r="L70" s="38" t="str">
        <x:v>-92.2329764</x:v>
      </x:c>
      <x:c r="M70" t="str">
        <x:v>#06_Hwy_107_Southbound_Near_Taco_Bell_at_North_Hills_Blvd._2026-06-26T20:07:10.713Z.jpg</x:v>
      </x:c>
    </x:row>
    <x:row r="71">
      <x:c r="A71" t="str">
        <x:v>Vehicle A</x:v>
      </x:c>
      <x:c r="B71" t="str">
        <x:v>arkansas</x:v>
      </x:c>
      <x:c r="C71" t="str">
        <x:v>6/26/2026</x:v>
      </x:c>
      <x:c r="D71" t="str">
        <x:v>15:07:14 CDT</x:v>
      </x:c>
      <x:c r="E71" t="str">
        <x:v>Chevrolet</x:v>
      </x:c>
      <x:c r="F71" t="str">
        <x:v>Pickup</x:v>
      </x:c>
      <x:c r="G71" t="str">
        <x:v>white</x:v>
      </x:c>
      <x:c r="H71" t="str"/>
      <x:c r="I71" t="str">
        <x:v>Sherwood AR PD</x:v>
      </x:c>
      <x:c r="J71" t="str">
        <x:v>#06 Hwy 107 Southbound Near Taco Bell at North Hills Blvd.</x:v>
      </x:c>
      <x:c r="K71" s="38" t="str">
        <x:v>34.82041424</x:v>
      </x:c>
      <x:c r="L71" s="38" t="str">
        <x:v>-92.2329764</x:v>
      </x:c>
      <x:c r="M71" t="str">
        <x:v>#06_Hwy_107_Southbound_Near_Taco_Bell_at_North_Hills_Blvd._2026-06-26T20:07:14.706Z.jpg</x:v>
      </x:c>
    </x:row>
    <x:row r="72">
      <x:c r="A72" t="str">
        <x:v>Vehicle A</x:v>
      </x:c>
      <x:c r="B72" t="str">
        <x:v>arkansas</x:v>
      </x:c>
      <x:c r="C72" t="str">
        <x:v>6/26/2026</x:v>
      </x:c>
      <x:c r="D72" t="str">
        <x:v>16:47:30 CDT</x:v>
      </x:c>
      <x:c r="E72" t="str">
        <x:v>Chevrolet</x:v>
      </x:c>
      <x:c r="F72" t="str">
        <x:v>Pickup</x:v>
      </x:c>
      <x:c r="G72" t="str">
        <x:v>white</x:v>
      </x:c>
      <x:c r="H72" t="str"/>
      <x:c r="I72" t="str">
        <x:v>Sherwood AR PD</x:v>
      </x:c>
      <x:c r="J72" t="str">
        <x:v>#05 Hwy 107 (Northbound) Greens at North Hills</x:v>
      </x:c>
      <x:c r="K72" s="38" t="str">
        <x:v>34.8217311</x:v>
      </x:c>
      <x:c r="L72" s="38" t="str">
        <x:v>-92.2313695</x:v>
      </x:c>
      <x:c r="M72" t="str">
        <x:v>#05_Hwy_107_(Northbound)_Greens_at_North_Hills_2026-06-26T21:47:30.713Z.jpg</x:v>
      </x:c>
    </x:row>
    <x:row r="73">
      <x:c r="A73" t="str">
        <x:v>Vehicle A</x:v>
      </x:c>
      <x:c r="B73" t="str">
        <x:v>arkansas</x:v>
      </x:c>
      <x:c r="C73" t="str">
        <x:v>6/26/2026</x:v>
      </x:c>
      <x:c r="D73" t="str">
        <x:v>16:54:53 CDT</x:v>
      </x:c>
      <x:c r="E73" t="str">
        <x:v>Chevrolet</x:v>
      </x:c>
      <x:c r="F73" t="str">
        <x:v>Pickup</x:v>
      </x:c>
      <x:c r="G73" t="str">
        <x:v>white</x:v>
      </x:c>
      <x:c r="H73" t="str">
        <x:v>Window Stickers</x:v>
      </x:c>
      <x:c r="I73" t="str">
        <x:v>Sherwood AR PD</x:v>
      </x:c>
      <x:c r="J73" t="str">
        <x:v>#04 Kellogg Acres Rd @ North City Limits NB</x:v>
      </x:c>
      <x:c r="K73" s="38" t="str">
        <x:v>34.87271694</x:v>
      </x:c>
      <x:c r="L73" s="38" t="str">
        <x:v>-92.22918117</x:v>
      </x:c>
      <x:c r="M73" t="str">
        <x:v>#04_Kellogg_Acres_Rd_@_North_City_Limits_NB_2026-06-26T21:54:53.456Z.jpg</x:v>
      </x:c>
    </x:row>
    <x:row r="74">
      <x:c r="A74" t="str">
        <x:v>Vehicle A</x:v>
      </x:c>
      <x:c r="B74" t="str">
        <x:v>arkansas</x:v>
      </x:c>
      <x:c r="C74" t="str">
        <x:v>6/27/2026</x:v>
      </x:c>
      <x:c r="D74" t="str">
        <x:v>12:00:35 CDT</x:v>
      </x:c>
      <x:c r="E74" t="str">
        <x:v>Chevrolet</x:v>
      </x:c>
      <x:c r="F74" t="str">
        <x:v>Pickup</x:v>
      </x:c>
      <x:c r="G74" t="str">
        <x:v>white</x:v>
      </x:c>
      <x:c r="H74" t="str">
        <x:v>Window Stickers</x:v>
      </x:c>
      <x:c r="I74" t="str">
        <x:v>Sherwood AR PD</x:v>
      </x:c>
      <x:c r="J74" t="str">
        <x:v>#07 Hwy 107 (Southbound) Near General Samuels</x:v>
      </x:c>
      <x:c r="K74" s="38" t="str">
        <x:v>34.88060988</x:v>
      </x:c>
      <x:c r="L74" s="38" t="str">
        <x:v>-92.18205206</x:v>
      </x:c>
      <x:c r="M74" t="str">
        <x:v>#07_Hwy_107_(Southbound)_Near_General_Samuels_2026-06-27T17:00:35.684Z.jpg</x:v>
      </x:c>
    </x:row>
    <x:row r="75">
      <x:c r="A75" t="str">
        <x:v>Vehicle A</x:v>
      </x:c>
      <x:c r="B75" t="str">
        <x:v>arkansas</x:v>
      </x:c>
      <x:c r="C75" t="str">
        <x:v>6/27/2026</x:v>
      </x:c>
      <x:c r="D75" t="str">
        <x:v>13:03:09 CDT</x:v>
      </x:c>
      <x:c r="E75" t="str">
        <x:v>Chevrolet</x:v>
      </x:c>
      <x:c r="F75" t="str">
        <x:v>Pickup</x:v>
      </x:c>
      <x:c r="G75" t="str">
        <x:v>white</x:v>
      </x:c>
      <x:c r="H75" t="str"/>
      <x:c r="I75" t="str">
        <x:v>Sherwood AR PD</x:v>
      </x:c>
      <x:c r="J75" t="str">
        <x:v>#06 Hwy 107 Southbound Near Taco Bell at North Hills Blvd.</x:v>
      </x:c>
      <x:c r="K75" s="38" t="str">
        <x:v>34.82041424</x:v>
      </x:c>
      <x:c r="L75" s="38" t="str">
        <x:v>-92.2329764</x:v>
      </x:c>
      <x:c r="M75" t="str">
        <x:v>#06_Hwy_107_Southbound_Near_Taco_Bell_at_North_Hills_Blvd._2026-06-27T18:03:09.872Z.jpg</x:v>
      </x:c>
    </x:row>
    <x:row r="76">
      <x:c r="A76" t="str">
        <x:v>Vehicle A</x:v>
      </x:c>
      <x:c r="B76" t="str">
        <x:v>arkansas</x:v>
      </x:c>
      <x:c r="C76" t="str">
        <x:v>6/27/2026</x:v>
      </x:c>
      <x:c r="D76" t="str">
        <x:v>14:54:25 CDT</x:v>
      </x:c>
      <x:c r="E76" t="str">
        <x:v>Chevrolet</x:v>
      </x:c>
      <x:c r="F76" t="str">
        <x:v>Pickup</x:v>
      </x:c>
      <x:c r="G76" t="str">
        <x:v>white</x:v>
      </x:c>
      <x:c r="H76" t="str"/>
      <x:c r="I76" t="str">
        <x:v>Sherwood AR PD</x:v>
      </x:c>
      <x:c r="J76" t="str">
        <x:v>#05 Hwy 107 (Northbound) Greens at North Hills</x:v>
      </x:c>
      <x:c r="K76" s="38" t="str">
        <x:v>34.8217311</x:v>
      </x:c>
      <x:c r="L76" s="38" t="str">
        <x:v>-92.2313695</x:v>
      </x:c>
      <x:c r="M76" t="str">
        <x:v>#05_Hwy_107_(Northbound)_Greens_at_North_Hills_2026-06-27T19:54:25.862Z.jpg</x:v>
      </x:c>
    </x:row>
    <x:row r="77">
      <x:c r="A77" t="str">
        <x:v>Vehicle A</x:v>
      </x:c>
      <x:c r="B77" t="str">
        <x:v>arkansas</x:v>
      </x:c>
      <x:c r="C77" t="str">
        <x:v>6/27/2026</x:v>
      </x:c>
      <x:c r="D77" t="str">
        <x:v>15:00:16 CDT</x:v>
      </x:c>
      <x:c r="E77" t="str">
        <x:v>Chevrolet</x:v>
      </x:c>
      <x:c r="F77" t="str">
        <x:v>Pickup</x:v>
      </x:c>
      <x:c r="G77" t="str">
        <x:v>white</x:v>
      </x:c>
      <x:c r="H77" t="str">
        <x:v>Window Stickers</x:v>
      </x:c>
      <x:c r="I77" t="str">
        <x:v>Sherwood AR PD</x:v>
      </x:c>
      <x:c r="J77" t="str">
        <x:v>#04 Kellogg Acres Rd @ North City Limits NB</x:v>
      </x:c>
      <x:c r="K77" s="38" t="str">
        <x:v>34.87271694</x:v>
      </x:c>
      <x:c r="L77" s="38" t="str">
        <x:v>-92.22918117</x:v>
      </x:c>
      <x:c r="M77" t="str">
        <x:v>#04_Kellogg_Acres_Rd_@_North_City_Limits_NB_2026-06-27T20:00:16.347Z.jpg</x:v>
      </x:c>
    </x:row>
    <x:row r="78">
      <x:c r="A78" t="str">
        <x:v>Vehicle A</x:v>
      </x:c>
      <x:c r="B78" t="str">
        <x:v>arkansas</x:v>
      </x:c>
      <x:c r="C78" t="str">
        <x:v>6/28/2026</x:v>
      </x:c>
      <x:c r="D78" t="str">
        <x:v>09:51:01 CDT</x:v>
      </x:c>
      <x:c r="E78" t="str">
        <x:v>Chevrolet</x:v>
      </x:c>
      <x:c r="F78" t="str">
        <x:v>Pickup</x:v>
      </x:c>
      <x:c r="G78" t="str">
        <x:v>white</x:v>
      </x:c>
      <x:c r="H78" t="str">
        <x:v>Window Stickers</x:v>
      </x:c>
      <x:c r="I78" t="str">
        <x:v>Sherwood AR PD</x:v>
      </x:c>
      <x:c r="J78" t="str">
        <x:v>#04 Kellogg Acres Rd @ North City Limits NB</x:v>
      </x:c>
      <x:c r="K78" s="38" t="str">
        <x:v>34.87271694</x:v>
      </x:c>
      <x:c r="L78" s="38" t="str">
        <x:v>-92.22918117</x:v>
      </x:c>
      <x:c r="M78" t="str">
        <x:v>#04_Kellogg_Acres_Rd_@_North_City_Limits_NB_2026-06-28T14:51:01.096Z.jpg</x:v>
      </x:c>
    </x:row>
    <x:row r="79">
      <x:c r="A79" t="str">
        <x:v>Vehicle A</x:v>
      </x:c>
      <x:c r="B79" t="str">
        <x:v>arkansas</x:v>
      </x:c>
      <x:c r="C79" t="str">
        <x:v>6/28/2026</x:v>
      </x:c>
      <x:c r="D79" t="str">
        <x:v>13:41:56 CDT</x:v>
      </x:c>
      <x:c r="E79" t="str">
        <x:v>Chevrolet</x:v>
      </x:c>
      <x:c r="F79" t="str">
        <x:v>Pickup</x:v>
      </x:c>
      <x:c r="G79" t="str">
        <x:v>white</x:v>
      </x:c>
      <x:c r="H79" t="str"/>
      <x:c r="I79" t="str">
        <x:v>Sherwood AR PD</x:v>
      </x:c>
      <x:c r="J79" t="str">
        <x:v>#06 Hwy 107 Southbound Near Taco Bell at North Hills Blvd.</x:v>
      </x:c>
      <x:c r="K79" s="38" t="str">
        <x:v>34.82041424</x:v>
      </x:c>
      <x:c r="L79" s="38" t="str">
        <x:v>-92.2329764</x:v>
      </x:c>
      <x:c r="M79" t="str">
        <x:v>#06_Hwy_107_Southbound_Near_Taco_Bell_at_North_Hills_Blvd._2026-06-28T18:41:56.156Z.jpg</x:v>
      </x:c>
    </x:row>
    <x:row r="80">
      <x:c r="A80" t="str">
        <x:v>Vehicle A</x:v>
      </x:c>
      <x:c r="B80" t="str">
        <x:v>arkansas</x:v>
      </x:c>
      <x:c r="C80" t="str">
        <x:v>6/28/2026</x:v>
      </x:c>
      <x:c r="D80" t="str">
        <x:v>15:32:52 CDT</x:v>
      </x:c>
      <x:c r="E80" t="str">
        <x:v>Chevrolet</x:v>
      </x:c>
      <x:c r="F80" t="str">
        <x:v>Pickup</x:v>
      </x:c>
      <x:c r="G80" t="str">
        <x:v>white</x:v>
      </x:c>
      <x:c r="H80" t="str">
        <x:v>Window Stickers</x:v>
      </x:c>
      <x:c r="I80" t="str">
        <x:v>Sherwood AR PD</x:v>
      </x:c>
      <x:c r="J80" t="str">
        <x:v>#05 Hwy 107 (Northbound) Greens at North Hills</x:v>
      </x:c>
      <x:c r="K80" s="38" t="str">
        <x:v>34.8217311</x:v>
      </x:c>
      <x:c r="L80" s="38" t="str">
        <x:v>-92.2313695</x:v>
      </x:c>
      <x:c r="M80" t="str">
        <x:v>#05_Hwy_107_(Northbound)_Greens_at_North_Hills_2026-06-28T20:32:52.521Z.jpg</x:v>
      </x:c>
    </x:row>
    <x:row r="81">
      <x:c r="A81" t="str">
        <x:v>Vehicle A</x:v>
      </x:c>
      <x:c r="B81" t="str">
        <x:v>arkansas</x:v>
      </x:c>
      <x:c r="C81" t="str">
        <x:v>6/28/2026</x:v>
      </x:c>
      <x:c r="D81" t="str">
        <x:v>15:39:40 CDT</x:v>
      </x:c>
      <x:c r="E81" t="str">
        <x:v>Chevrolet</x:v>
      </x:c>
      <x:c r="F81" t="str">
        <x:v>Pickup</x:v>
      </x:c>
      <x:c r="G81" t="str">
        <x:v>white</x:v>
      </x:c>
      <x:c r="H81" t="str">
        <x:v>Window Stickers</x:v>
      </x:c>
      <x:c r="I81" t="str">
        <x:v>Sherwood AR PD</x:v>
      </x:c>
      <x:c r="J81" t="str">
        <x:v>#04 Kellogg Acres Rd @ North City Limits NB</x:v>
      </x:c>
      <x:c r="K81" s="38" t="str">
        <x:v>34.87271694</x:v>
      </x:c>
      <x:c r="L81" s="38" t="str">
        <x:v>-92.22918117</x:v>
      </x:c>
      <x:c r="M81" t="str">
        <x:v>#04_Kellogg_Acres_Rd_@_North_City_Limits_NB_2026-06-28T20:39:40.443Z.jpg</x:v>
      </x:c>
    </x:row>
  </x:sheetData>
  <x:pageMargins left="0.7" right="0.7" top="0.75" bottom="0.75" header="0.3" footer="0.3"/>
  <x:tableParts count="1">
    <x:tablePart xmlns:r="http://schemas.openxmlformats.org/officeDocument/2006/relationships" r:id="Rad644fec3d6143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4" customHeight="1">
      <x:c r="A1" s="3" t="str">
        <x:v>Methodology and Interpretation Limits</x:v>
      </x:c>
      <x:c r="B1" s="3" t="str">
        <x:v>Methodology and Interpretation Limits</x:v>
      </x:c>
      <x:c r="C1" s="3" t="str">
        <x:v>Methodology and Interpretation Limits</x:v>
      </x:c>
      <x:c r="D1" s="3" t="str">
        <x:v>Methodology and Interpretation Limits</x:v>
      </x:c>
      <x:c r="E1" s="3" t="str">
        <x:v>Methodology and Interpretation Limits</x:v>
      </x:c>
      <x:c r="F1" s="3" t="str">
        <x:v>Methodology and Interpretation Limits</x:v>
      </x:c>
    </x:row>
    <x:row r="3" ht="30" customHeight="1">
      <x:c r="A3" s="14" t="str">
        <x:v>Rule or source</x:v>
      </x:c>
      <x:c r="B3" s="15" t="str">
        <x:v>Definition</x:v>
      </x:c>
    </x:row>
    <x:row r="4" ht="42" customHeight="1">
      <x:c r="A4" s="42" t="str">
        <x:v>Vehicle label</x:v>
      </x:c>
      <x:c r="B4" s="44" t="str">
        <x:v>The source plate is replaced with “Vehicle A” throughout the analysis.</x:v>
      </x:c>
    </x:row>
    <x:row r="5" ht="42" customHeight="1">
      <x:c r="A5" s="42" t="str">
        <x:v>Chronology</x:v>
      </x:c>
      <x:c r="B5" s="44" t="str">
        <x:v>All source timestamps are treated as Central Daylight Time, as stated in the CSV.</x:v>
      </x:c>
    </x:row>
    <x:row r="6" ht="42" customHeight="1">
      <x:c r="A6" s="42" t="str">
        <x:v>Deduplication</x:v>
      </x:c>
      <x:c r="B6" s="44" t="str">
        <x:v>Consecutive captures at the same camera were collapsed when each occurred within 60 seconds of the preceding capture. The retained event records the raw burst count.</x:v>
      </x:c>
    </x:row>
    <x:row r="7" ht="42" customHeight="1">
      <x:c r="A7" s="42" t="str">
        <x:v>Close sequence</x:v>
      </x:c>
      <x:c r="B7" s="44" t="str">
        <x:v>Two consecutive detections on the same date at different cameras with no more than 20 minutes between them.</x:v>
      </x:c>
    </x:row>
    <x:row r="8" ht="42" customHeight="1">
      <x:c r="A8" s="42" t="str">
        <x:v>Possible same outing</x:v>
      </x:c>
      <x:c r="B8" s="44" t="str">
        <x:v>Two consecutive detections on the same date at different cameras with more than 20 but no more than 90 minutes between them. A stop, detour, or unobserved movement may have occurred.</x:v>
      </x:c>
    </x:row>
    <x:row r="9" ht="42" customHeight="1">
      <x:c r="A9" s="42" t="str">
        <x:v>Time-separated</x:v>
      </x:c>
      <x:c r="B9" s="44" t="str">
        <x:v>Consecutive same-date detections separated by more than 90 minutes. These are not treated as evidence of continuous travel.</x:v>
      </x:c>
    </x:row>
    <x:row r="10" ht="42" customHeight="1">
      <x:c r="A10" s="42" t="str">
        <x:v>Map connectors</x:v>
      </x:c>
      <x:c r="B10" s="44" t="str">
        <x:v>Connections are straight chronological links between camera coordinates. They do not identify the actual road or route traveled.</x:v>
      </x:c>
    </x:row>
    <x:row r="11" ht="42" customHeight="1">
      <x:c r="A11" s="42" t="str">
        <x:v>Distance</x:v>
      </x:c>
      <x:c r="B11" s="44" t="str">
        <x:v>Straight-line distance uses a great-circle formula with an Earth radius of 3,958.8 miles. Road distance would be longer.</x:v>
      </x:c>
    </x:row>
    <x:row r="12" ht="42" customHeight="1">
      <x:c r="A12" s="42" t="str">
        <x:v>Identification limits</x:v>
      </x:c>
      <x:c r="B12" s="44" t="str">
        <x:v>The file associates one plate with multiple vehicle makes. The analysis does not determine the driver or independently confirm the vehicle.</x:v>
      </x:c>
    </x:row>
    <x:row r="13" ht="42" customHeight="1">
      <x:c r="A13" s="42" t="str">
        <x:v>Source records</x:v>
      </x:c>
      <x:c r="B13" s="44" t="str">
        <x:v>Flock_Safety_Search_Results_7-1-2026_10-49-46AM(1).csv</x:v>
      </x:c>
    </x:row>
    <x:row r="14" ht="42" customHeight="1">
      <x:c r="A14" s="42" t="str">
        <x:v>Map roads</x:v>
      </x:c>
      <x:c r="B14" s="44" t="str">
        <x:v>OpenStreetMap geometry retrieved through the Overpass API on 2026-08-14. © OpenStreetMap contributors. https://www.openstreetmap.org/copyright</x:v>
      </x:c>
    </x:row>
  </x:sheetData>
  <x:mergeCells>
    <x:mergeCell ref="A1:F1"/>
  </x:mergeCells>
  <x:pageMargins left="0.7" right="0.7" top="0.75" bottom="0.75" header="0.3" footer="0.3"/>
</x:worksheet>
</file>