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baba19338ac4c32" /></Relationships>
</file>

<file path=xl/workbook.xml><?xml version="1.0" encoding="utf-8"?>
<x:workbook xmlns:x="http://schemas.openxmlformats.org/spreadsheetml/2006/main">
  <x:sheets>
    <x:sheet xmlns:r="http://schemas.openxmlformats.org/officeDocument/2006/relationships" name="Dashboard" sheetId="1" r:id="Ra52235bf7b894795"/>
    <x:sheet xmlns:r="http://schemas.openxmlformats.org/officeDocument/2006/relationships" name="Raw Data" sheetId="2" r:id="R58fd5f153bdf428d"/>
    <x:sheet xmlns:r="http://schemas.openxmlformats.org/officeDocument/2006/relationships" name="Daily Activity" sheetId="3" r:id="Rada2fe7e76d3401d"/>
    <x:sheet xmlns:r="http://schemas.openxmlformats.org/officeDocument/2006/relationships" name="Network Scope" sheetId="4" r:id="R6521166205a343ab"/>
    <x:sheet xmlns:r="http://schemas.openxmlformats.org/officeDocument/2006/relationships" name="Findings &amp; Limits" sheetId="5" r:id="Re77133f4f96e4db0"/>
  </x:sheets>
</x:workbook>
</file>

<file path=xl/comments1.xml><?xml version="1.0" encoding="utf-8"?>
<x:comments xmlns:x="http://schemas.openxmlformats.org/spreadsheetml/2006/main">
  <x:authors>
    <x:author>tc={6D371890-CE8B-CB09-BE0C-ADAADB1694B0}</x:author>
  </x:authors>
  <x:commentList>
    <x:comment ref="D1" authorId="0">
      <x:text>
        <x:r>
          <x:t>[Threaded comment]
Your version of Excel allows you to read this threaded comment; however, any edits to it will get removed if the file is opened in a newer version of Excel. Learn more: https://go.microsoft.com/fwlink/?linkid=870924
Comment:
    networkCount is the field supplied in the public CSV. The file does not identify the networks, agencies, databases, or data sources represented by the count.</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
    <x:numFmt numFmtId="201" formatCode="#,##0"/>
    <x:numFmt numFmtId="202" formatCode="00"/>
    <x:numFmt numFmtId="203" formatCode="0.000"/>
    <x:numFmt numFmtId="204" formatCode="0.0%"/>
    <x:numFmt numFmtId="205" formatCode="0.00%"/>
  </x:numFmts>
  <x:fonts count="10">
    <x:font>
      <x:sz val="11"/>
      <x:name val="Carlito"/>
    </x:font>
    <x:font>
      <x:b/>
      <x:sz val="11"/>
      <x:color rgb="FFFFFFFF"/>
      <x:name val="Carlito"/>
    </x:font>
    <x:font>
      <x:b/>
      <x:sz val="11"/>
      <x:color rgb="FF17365D"/>
      <x:name val="Carlito"/>
    </x:font>
    <x:font>
      <x:b/>
      <x:sz val="18"/>
      <x:color rgb="FFFFFFFF"/>
      <x:name val="Carlito"/>
    </x:font>
    <x:font>
      <x:i/>
      <x:sz val="11"/>
      <x:color rgb="FF1F2937"/>
      <x:name val="Carlito"/>
    </x:font>
    <x:font>
      <x:sz val="11"/>
      <x:color rgb="FF1F2937"/>
      <x:name val="Carlito"/>
    </x:font>
    <x:font>
      <x:b/>
      <x:sz val="20"/>
      <x:color rgb="FF17365D"/>
      <x:name val="Carlito"/>
    </x:font>
    <x:font>
      <x:b/>
      <x:sz val="14"/>
      <x:color rgb="FF1F2937"/>
      <x:name val="Carlito"/>
    </x:font>
    <x:font>
      <x:b/>
      <x:sz val="11"/>
      <x:color rgb="FF1F2937"/>
      <x:name val="Carlito"/>
    </x:font>
    <x:font>
      <x:i/>
      <x:sz val="9"/>
      <x:color rgb="FF1F2937"/>
      <x:name val="Carlito"/>
    </x:font>
  </x:fonts>
  <x:fills count="11">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0F6B78"/>
      </x:patternFill>
    </x:fill>
    <x:fill>
      <x:patternFill patternType="solid">
        <x:fgColor rgb="FFDDEBF7"/>
      </x:patternFill>
    </x:fill>
    <x:fill>
      <x:patternFill patternType="solid">
        <x:fgColor rgb="FFFFFDF3"/>
      </x:patternFill>
    </x:fill>
    <x:fill>
      <x:patternFill patternType="solid">
        <x:fgColor rgb="FFFCE4D6"/>
      </x:patternFill>
    </x:fill>
    <x:fill>
      <x:patternFill patternType="solid">
        <x:fgColor rgb="FFE7E6E6"/>
      </x:patternFill>
    </x:fill>
  </x:fills>
  <x:borders count="26">
    <x:border/>
    <x:border>
      <x:right style="thin">
        <x:color rgb="FFD9E1F2"/>
      </x:right>
      <x:bottom style="thin">
        <x:color rgb="FFD9E1F2"/>
      </x:bottom>
    </x:border>
    <x:border>
      <x:left style="thin">
        <x:color rgb="FFD9E1F2"/>
      </x:left>
      <x:right style="thin">
        <x:color rgb="FFD9E1F2"/>
      </x:right>
      <x:bottom style="thin">
        <x:color rgb="FFD9E1F2"/>
      </x:bottom>
    </x:border>
    <x:border>
      <x:left style="thin">
        <x:color rgb="FFD9E1F2"/>
      </x:left>
      <x:bottom style="thin">
        <x:color rgb="FFD9E1F2"/>
      </x:bottom>
    </x:border>
    <x:border>
      <x:right style="thin">
        <x:color rgb="FFD9E1F2"/>
      </x:right>
      <x:top style="thin">
        <x:color rgb="FFD9E1F2"/>
      </x:top>
      <x:bottom style="thin">
        <x:color rgb="FFD9E1F2"/>
      </x:bottom>
    </x:border>
    <x:border>
      <x:left style="thin">
        <x:color rgb="FFD9E1F2"/>
      </x:left>
      <x:right style="thin">
        <x:color rgb="FFD9E1F2"/>
      </x:right>
      <x:top style="thin">
        <x:color rgb="FFD9E1F2"/>
      </x:top>
      <x:bottom style="thin">
        <x:color rgb="FFD9E1F2"/>
      </x:bottom>
    </x:border>
    <x:border>
      <x:left style="thin">
        <x:color rgb="FFD9E1F2"/>
      </x:left>
      <x:top style="thin">
        <x:color rgb="FFD9E1F2"/>
      </x:top>
      <x:bottom style="thin">
        <x:color rgb="FFD9E1F2"/>
      </x:bottom>
    </x:border>
    <x:border>
      <x:right style="thin">
        <x:color rgb="FFD9E1F2"/>
      </x:right>
      <x:top style="thin">
        <x:color rgb="FFD9E1F2"/>
      </x:top>
    </x:border>
    <x:border>
      <x:left style="thin">
        <x:color rgb="FFD9E1F2"/>
      </x:left>
      <x:right style="thin">
        <x:color rgb="FFD9E1F2"/>
      </x:right>
      <x:top style="thin">
        <x:color rgb="FFD9E1F2"/>
      </x:top>
    </x:border>
    <x:border>
      <x:left style="thin">
        <x:color rgb="FFD9E1F2"/>
      </x:left>
      <x:top style="thin">
        <x:color rgb="FFD9E1F2"/>
      </x:top>
    </x:border>
    <x:border>
      <x:left style="medium">
        <x:color rgb="FFC9B458"/>
      </x:left>
      <x:top style="medium">
        <x:color rgb="FFC9B458"/>
      </x:top>
      <x:bottom style="medium">
        <x:color rgb="FFC9B458"/>
      </x:bottom>
    </x:border>
    <x:border>
      <x:top style="medium">
        <x:color rgb="FFC9B458"/>
      </x:top>
      <x:bottom style="medium">
        <x:color rgb="FFC9B458"/>
      </x:bottom>
    </x:border>
    <x:border>
      <x:right style="medium">
        <x:color rgb="FFC9B458"/>
      </x:right>
      <x:top style="medium">
        <x:color rgb="FFC9B458"/>
      </x:top>
      <x:bottom style="medium">
        <x:color rgb="FFC9B458"/>
      </x:bottom>
    </x:border>
    <x:border>
      <x:left style="medium">
        <x:color rgb="FF9EADBC"/>
      </x:left>
      <x:top style="medium">
        <x:color rgb="FF9EADBC"/>
      </x:top>
    </x:border>
    <x:border>
      <x:right style="medium">
        <x:color rgb="FF9EADBC"/>
      </x:right>
      <x:top style="medium">
        <x:color rgb="FF9EADBC"/>
      </x:top>
    </x:border>
    <x:border>
      <x:left style="medium">
        <x:color rgb="FF9EADBC"/>
      </x:left>
      <x:bottom style="medium">
        <x:color rgb="FF9EADBC"/>
      </x:bottom>
    </x:border>
    <x:border>
      <x:right style="medium">
        <x:color rgb="FF9EADBC"/>
      </x:right>
      <x:bottom style="medium">
        <x:color rgb="FF9EADBC"/>
      </x:bottom>
    </x:border>
    <x:border>
      <x:right style="thin">
        <x:color rgb="FFE5D9A7"/>
      </x:right>
      <x:bottom style="thin">
        <x:color rgb="FFE5D9A7"/>
      </x:bottom>
    </x:border>
    <x:border>
      <x:left style="thin">
        <x:color rgb="FFE5D9A7"/>
      </x:left>
      <x:right style="thin">
        <x:color rgb="FFE5D9A7"/>
      </x:right>
      <x:bottom style="thin">
        <x:color rgb="FFE5D9A7"/>
      </x:bottom>
    </x:border>
    <x:border>
      <x:left style="thin">
        <x:color rgb="FFE5D9A7"/>
      </x:left>
      <x:bottom style="thin">
        <x:color rgb="FFE5D9A7"/>
      </x:bottom>
    </x:border>
    <x:border>
      <x:right style="thin">
        <x:color rgb="FFE5D9A7"/>
      </x:right>
      <x:top style="thin">
        <x:color rgb="FFE5D9A7"/>
      </x:top>
      <x:bottom style="thin">
        <x:color rgb="FFE5D9A7"/>
      </x:bottom>
    </x:border>
    <x:border>
      <x:left style="thin">
        <x:color rgb="FFE5D9A7"/>
      </x:left>
      <x:right style="thin">
        <x:color rgb="FFE5D9A7"/>
      </x:right>
      <x:top style="thin">
        <x:color rgb="FFE5D9A7"/>
      </x:top>
      <x:bottom style="thin">
        <x:color rgb="FFE5D9A7"/>
      </x:bottom>
    </x:border>
    <x:border>
      <x:left style="thin">
        <x:color rgb="FFE5D9A7"/>
      </x:left>
      <x:top style="thin">
        <x:color rgb="FFE5D9A7"/>
      </x:top>
      <x:bottom style="thin">
        <x:color rgb="FFE5D9A7"/>
      </x:bottom>
    </x:border>
    <x:border>
      <x:right style="thin">
        <x:color rgb="FFE5D9A7"/>
      </x:right>
      <x:top style="thin">
        <x:color rgb="FFE5D9A7"/>
      </x:top>
    </x:border>
    <x:border>
      <x:left style="thin">
        <x:color rgb="FFE5D9A7"/>
      </x:left>
      <x:right style="thin">
        <x:color rgb="FFE5D9A7"/>
      </x:right>
      <x:top style="thin">
        <x:color rgb="FFE5D9A7"/>
      </x:top>
    </x:border>
    <x:border>
      <x:left style="thin">
        <x:color rgb="FFE5D9A7"/>
      </x:left>
      <x:top style="thin">
        <x:color rgb="FFE5D9A7"/>
      </x:top>
    </x:border>
  </x:borders>
  <x:cellStyleXfs count="1">
    <x:xf numFmtId="0" fontId="0" fillId="0" borderId="0"/>
  </x:cellStyleXfs>
  <x:cellXfs count="111">
    <x:xf numFmtId="0" fontId="0" fillId="0" borderId="0" xfId="0"/>
    <x:xf numFmtId="20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201" fontId="0" fillId="0" borderId="0" xfId="0" applyNumberFormat="1" applyFont="1" applyFill="1" applyBorder="1"/>
    <x:xf numFmtId="202" fontId="0" fillId="0" borderId="0" xfId="0" applyNumberFormat="1" applyFont="1" applyFill="1" applyBorder="1"/>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200" fontId="0" fillId="0" borderId="5" xfId="0" applyNumberFormat="1" applyFont="1" applyFill="1" applyBorder="1"/>
    <x:xf numFmtId="201" fontId="0" fillId="0" borderId="5" xfId="0" applyNumberFormat="1" applyFont="1" applyFill="1" applyBorder="1"/>
    <x:xf numFmtId="202"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200" fontId="0" fillId="0" borderId="8" xfId="0" applyNumberFormat="1" applyFont="1" applyFill="1" applyBorder="1"/>
    <x:xf numFmtId="201" fontId="0" fillId="0" borderId="8" xfId="0" applyNumberFormat="1" applyFont="1" applyFill="1" applyBorder="1"/>
    <x:xf numFmtId="202" fontId="0" fillId="0" borderId="8" xfId="0" applyNumberFormat="1" applyFont="1" applyFill="1" applyBorder="1"/>
    <x:xf numFmtId="0" fontId="0" fillId="0" borderId="9" xfId="0" applyNumberFormat="1" applyFont="1" applyFill="1" applyBorder="1"/>
    <x:xf numFmtId="203" fontId="0" fillId="0" borderId="5" xfId="0" applyNumberFormat="1" applyFont="1" applyFill="1" applyBorder="1"/>
    <x:xf numFmtId="203" fontId="0" fillId="0" borderId="8"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201" fontId="0" fillId="0" borderId="6" xfId="0" applyNumberFormat="1" applyFont="1" applyFill="1" applyBorder="1"/>
    <x:xf numFmtId="201" fontId="0" fillId="0" borderId="9"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204" fontId="0" fillId="0" borderId="5" xfId="0" applyNumberFormat="1" applyFont="1" applyFill="1" applyBorder="1"/>
    <x:xf numFmtId="204" fontId="0" fillId="0" borderId="8" xfId="0" applyNumberFormat="1" applyFont="1" applyFill="1" applyBorder="1"/>
    <x:xf numFmtId="205" fontId="0" fillId="0" borderId="6" xfId="0" applyNumberFormat="1" applyFont="1" applyFill="1" applyBorder="1"/>
    <x:xf numFmtId="205" fontId="0" fillId="0" borderId="9" xfId="0" applyNumberFormat="1" applyFont="1" applyFill="1" applyBorder="1"/>
    <x:xf numFmtId="0" fontId="0" fillId="6" borderId="0" xfId="0" applyNumberFormat="1" applyFont="1" applyFill="1" applyBorder="1"/>
    <x:xf numFmtId="0" fontId="1" fillId="6"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top" wrapText="1"/>
    </x:xf>
    <x:xf numFmtId="0" fontId="1" fillId="2" borderId="0" xfId="0" applyNumberFormat="1" applyFont="1" applyFill="1" applyBorder="1" applyAlignment="1">
      <x:alignment horizontal="center" wrapText="1"/>
    </x:xf>
    <x:xf numFmtId="0" fontId="6" fillId="5" borderId="0" xfId="0" applyNumberFormat="1" applyFont="1" applyFill="1" applyBorder="1"/>
    <x:xf numFmtId="0" fontId="6" fillId="5" borderId="13" xfId="0" applyNumberFormat="1" applyFont="1" applyFill="1" applyBorder="1"/>
    <x:xf numFmtId="0" fontId="6" fillId="5" borderId="14" xfId="0" applyNumberFormat="1" applyFont="1" applyFill="1" applyBorder="1"/>
    <x:xf numFmtId="0" fontId="6" fillId="5" borderId="15" xfId="0" applyNumberFormat="1" applyFont="1" applyFill="1" applyBorder="1"/>
    <x:xf numFmtId="0" fontId="6" fillId="5" borderId="16" xfId="0" applyNumberFormat="1" applyFont="1" applyFill="1" applyBorder="1"/>
    <x:xf numFmtId="0" fontId="6" fillId="5" borderId="13" xfId="0" applyNumberFormat="1" applyFont="1" applyFill="1" applyBorder="1" applyAlignment="1">
      <x:alignment horizontal="center"/>
    </x:xf>
    <x:xf numFmtId="0" fontId="6" fillId="5" borderId="14" xfId="0" applyNumberFormat="1" applyFont="1" applyFill="1" applyBorder="1" applyAlignment="1">
      <x:alignment horizontal="center"/>
    </x:xf>
    <x:xf numFmtId="0" fontId="6" fillId="5" borderId="15" xfId="0" applyNumberFormat="1" applyFont="1" applyFill="1" applyBorder="1" applyAlignment="1">
      <x:alignment horizontal="center"/>
    </x:xf>
    <x:xf numFmtId="0" fontId="6" fillId="5" borderId="16" xfId="0" applyNumberFormat="1" applyFont="1" applyFill="1" applyBorder="1" applyAlignment="1">
      <x:alignment horizontal="center"/>
    </x:xf>
    <x:xf numFmtId="0" fontId="6" fillId="5" borderId="13" xfId="0" applyNumberFormat="1" applyFont="1" applyFill="1" applyBorder="1" applyAlignment="1">
      <x:alignment horizontal="center" vertical="center"/>
    </x:xf>
    <x:xf numFmtId="0" fontId="6" fillId="5" borderId="14" xfId="0" applyNumberFormat="1" applyFont="1" applyFill="1" applyBorder="1" applyAlignment="1">
      <x:alignment horizontal="center" vertical="center"/>
    </x:xf>
    <x:xf numFmtId="0" fontId="6" fillId="5" borderId="15" xfId="0" applyNumberFormat="1" applyFont="1" applyFill="1" applyBorder="1" applyAlignment="1">
      <x:alignment horizontal="center" vertical="center"/>
    </x:xf>
    <x:xf numFmtId="0" fontId="6" fillId="5" borderId="16" xfId="0" applyNumberFormat="1" applyFont="1" applyFill="1" applyBorder="1" applyAlignment="1">
      <x:alignment horizontal="center" vertical="center"/>
    </x:xf>
    <x:xf numFmtId="201" fontId="6" fillId="5" borderId="13" xfId="0" applyNumberFormat="1" applyFont="1" applyFill="1" applyBorder="1" applyAlignment="1">
      <x:alignment horizontal="center" vertical="center"/>
    </x:xf>
    <x:xf numFmtId="201" fontId="6" fillId="5" borderId="14" xfId="0" applyNumberFormat="1" applyFont="1" applyFill="1" applyBorder="1" applyAlignment="1">
      <x:alignment horizontal="center" vertical="center"/>
    </x:xf>
    <x:xf numFmtId="201" fontId="6" fillId="5" borderId="15" xfId="0" applyNumberFormat="1" applyFont="1" applyFill="1" applyBorder="1" applyAlignment="1">
      <x:alignment horizontal="center" vertical="center"/>
    </x:xf>
    <x:xf numFmtId="201" fontId="6" fillId="5" borderId="16" xfId="0" applyNumberFormat="1" applyFont="1" applyFill="1" applyBorder="1" applyAlignment="1">
      <x:alignment horizontal="center" vertical="center"/>
    </x:xf>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horizontal="center"/>
    </x:xf>
    <x:xf numFmtId="0" fontId="7" fillId="7" borderId="0" xfId="0" applyNumberFormat="1" applyFont="1" applyFill="1" applyBorder="1" applyAlignment="1">
      <x:alignment horizontal="center" vertical="center"/>
    </x:xf>
    <x:xf numFmtId="201" fontId="7" fillId="7" borderId="0" xfId="0" applyNumberFormat="1" applyFont="1" applyFill="1" applyBorder="1" applyAlignment="1">
      <x:alignment horizontal="center" vertical="center"/>
    </x:xf>
    <x:xf numFmtId="204" fontId="7" fillId="7" borderId="0" xfId="0" applyNumberFormat="1" applyFont="1" applyFill="1" applyBorder="1" applyAlignment="1">
      <x:alignment horizontal="center" vertical="center"/>
    </x:xf>
    <x:xf numFmtId="0" fontId="1" fillId="4"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top"/>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vertical="top" wrapText="1"/>
    </x:xf>
    <x:xf numFmtId="0" fontId="2" fillId="3" borderId="17" xfId="0" applyNumberFormat="1" applyFont="1" applyFill="1" applyBorder="1" applyAlignment="1">
      <x:alignment horizontal="center" vertical="top"/>
    </x:xf>
    <x:xf numFmtId="0" fontId="5" fillId="8" borderId="18" xfId="0" applyNumberFormat="1" applyFont="1" applyFill="1" applyBorder="1" applyAlignment="1">
      <x:alignment vertical="top" wrapText="1"/>
    </x:xf>
    <x:xf numFmtId="0" fontId="5" fillId="8" borderId="19" xfId="0" applyNumberFormat="1" applyFont="1" applyFill="1" applyBorder="1" applyAlignment="1">
      <x:alignment vertical="top" wrapText="1"/>
    </x:xf>
    <x:xf numFmtId="0" fontId="2" fillId="3" borderId="20" xfId="0" applyNumberFormat="1" applyFont="1" applyFill="1" applyBorder="1" applyAlignment="1">
      <x:alignment horizontal="center" vertical="top"/>
    </x:xf>
    <x:xf numFmtId="0" fontId="5" fillId="8" borderId="21" xfId="0" applyNumberFormat="1" applyFont="1" applyFill="1" applyBorder="1" applyAlignment="1">
      <x:alignment vertical="top" wrapText="1"/>
    </x:xf>
    <x:xf numFmtId="0" fontId="5" fillId="8" borderId="22" xfId="0" applyNumberFormat="1" applyFont="1" applyFill="1" applyBorder="1" applyAlignment="1">
      <x:alignment vertical="top" wrapText="1"/>
    </x:xf>
    <x:xf numFmtId="0" fontId="2" fillId="3" borderId="23" xfId="0" applyNumberFormat="1" applyFont="1" applyFill="1" applyBorder="1" applyAlignment="1">
      <x:alignment horizontal="center" vertical="top"/>
    </x:xf>
    <x:xf numFmtId="0" fontId="5" fillId="8" borderId="24" xfId="0" applyNumberFormat="1" applyFont="1" applyFill="1" applyBorder="1" applyAlignment="1">
      <x:alignment vertical="top" wrapText="1"/>
    </x:xf>
    <x:xf numFmtId="0" fontId="5" fillId="8" borderId="25" xfId="0" applyNumberFormat="1" applyFont="1" applyFill="1" applyBorder="1" applyAlignment="1">
      <x:alignment vertical="top"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top"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0" fillId="10" borderId="0" xfId="0" applyNumberFormat="1" applyFont="1" applyFill="1" applyBorder="1"/>
    <x:xf numFmtId="0" fontId="9" fillId="10" borderId="0" xfId="0" applyNumberFormat="1" applyFont="1" applyFill="1" applyBorder="1"/>
    <x:xf numFmtId="0" fontId="9" fillId="10" borderId="0" xfId="0" applyNumberFormat="1" applyFont="1" applyFill="1" applyBorder="1" applyAlignment="1">
      <x:alignment wrapText="1"/>
    </x:xf>
    <x:xf numFmtId="0" fontId="9" fillId="1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f252cadfc44077" /><Relationship Type="http://schemas.openxmlformats.org/officeDocument/2006/relationships/theme" Target="/xl/theme/theme1.xml" Id="R5107c62958a44e0f" /><Relationship Type="http://schemas.openxmlformats.org/officeDocument/2006/relationships/sharedStrings" Target="/xl/sharedStrings.xml" Id="R16a4f59bbce24bf0" /><Relationship Type="http://schemas.openxmlformats.org/officeDocument/2006/relationships/worksheet" Target="/xl/worksheets/sheet1.xml" Id="Ra52235bf7b894795" /><Relationship Type="http://schemas.openxmlformats.org/officeDocument/2006/relationships/worksheet" Target="/xl/worksheets/sheet2.xml" Id="R58fd5f153bdf428d" /><Relationship Type="http://schemas.openxmlformats.org/officeDocument/2006/relationships/worksheet" Target="/xl/worksheets/sheet3.xml" Id="Rada2fe7e76d3401d" /><Relationship Type="http://schemas.openxmlformats.org/officeDocument/2006/relationships/worksheet" Target="/xl/worksheets/sheet4.xml" Id="R6521166205a343ab" /><Relationship Type="http://schemas.openxmlformats.org/officeDocument/2006/relationships/worksheet" Target="/xl/worksheets/sheet5.xml" Id="Re77133f4f96e4db0" /><Relationship Type="http://schemas.microsoft.com/office/2017/10/relationships/person" Target="/xl/persons/person.xml" Id="R93ef8a0063d74fc2" /></Relationships>
</file>

<file path=xl/drawings/_rels/drawing1.xml.rels>&#65279;<?xml version="1.0" encoding="utf-8"?><Relationships xmlns="http://schemas.openxmlformats.org/package/2006/relationships"><Relationship Type="http://schemas.openxmlformats.org/officeDocument/2006/relationships/chart" Target="/xl/drawings/charts/chart1.xml" Id="R3bebbaf8f76a444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185 searches over the 30-day public-audit period</a:t>
            </a:r>
          </a:p>
        </c:rich>
      </c:tx>
      <c:overlay val="0"/>
    </c:title>
    <c:plotArea>
      <c:lineChart>
        <c:grouping val="standard"/>
        <c:varyColors val="0"/>
        <c:ser>
          <c:idx val="0"/>
          <c:order val="0"/>
          <c:tx>
            <c:v>Searches</c:v>
          </c:tx>
          <c:marker>
            <c:symbol val="none"/>
          </c:marker>
          <c:cat>
            <c:strRef>
              <c:f>'Daily Activity'!$A$2:$A$31</c:f>
              <c:strCache>
                <c:ptCount val="0"/>
              </c:strCache>
            </c:strRef>
          </c:cat>
          <c:val>
            <c:numRef>
              <c:f>'Daily Activity'!$B$2:$B$31</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18</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bebbaf8f76a444c"/>
        </a:graphicData>
      </a:graphic>
    </xdr:graphicFrame>
    <xdr:clientData/>
  </xdr:twoCellAnchor>
</xdr:wsDr>
</file>

<file path=xl/persons/person.xml><?xml version="1.0" encoding="utf-8"?>
<xltc:personList xmlns:xltc="http://schemas.microsoft.com/office/spreadsheetml/2018/threadedcomments">
  <xltc:person displayName="John D. McKeehan" id="{774B1799-0F56-42BC-9FA2-85D09BC12C0E}"/>
</xltc:personList>
</file>

<file path=xl/tables/table1.xml><?xml version="1.0" encoding="utf-8"?>
<x:table xmlns:x="http://schemas.openxmlformats.org/spreadsheetml/2006/main" id="1" name="SherwoodPublicSearchAudit" displayName="SherwoodPublicSearchAudit" ref="A1:O186" headerRowCount="1" totalsRowCount="0" totalsRowShown="0">
  <x:tableColumns count="15">
    <x:tableColumn id="1" name="id"/>
    <x:tableColumn id="2" name="userId"/>
    <x:tableColumn id="3" name="searchDate (UTC)"/>
    <x:tableColumn id="4" name="networkCount"/>
    <x:tableColumn id="5" name="reason"/>
    <x:tableColumn id="6" name="Local date/time (CDT)"/>
    <x:tableColumn id="7" name="Local date"/>
    <x:tableColumn id="8" name="Local hour"/>
    <x:tableColumn id="9" name="Weekday"/>
    <x:tableColumn id="10" name="Observed scope tier"/>
    <x:tableColumn id="11" name="Off-hours flag (22:00–05:59)"/>
    <x:tableColumn id="12" name="Duplicate ID flag"/>
    <x:tableColumn id="13" name="Weekend flag"/>
    <x:tableColumn id="14" name="Gap from prior search (seconds)"/>
    <x:tableColumn id="15" name="Rapid-repeat flag (≤60 sec)"/>
  </x:tableColumns>
  <x:tableStyleInfo name="TableStyleMedium2" showFirstColumn="0" showLastColumn="0" showRowStripes="1" showColumnStripes="0"/>
</x:table>
</file>

<file path=xl/tables/table2.xml><?xml version="1.0" encoding="utf-8"?>
<x:table xmlns:x="http://schemas.openxmlformats.org/spreadsheetml/2006/main" id="2" name="DailySearchActivity" displayName="DailySearchActivity" ref="A1:H31" headerRowCount="1" totalsRowCount="0" totalsRowShown="0">
  <x:tableColumns count="8">
    <x:tableColumn id="1" name="Local date (CDT)"/>
    <x:tableColumn id="2" name="Searches"/>
    <x:tableColumn id="3" name="Network-search pairings"/>
    <x:tableColumn id="4" name="1 network"/>
    <x:tableColumn id="5" name="133–135"/>
    <x:tableColumn id="6" name="2,342–2,489"/>
    <x:tableColumn id="7" name="6,248–6,295"/>
    <x:tableColumn id="8" name="Off-hours search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D1" dT="2026-08-10T16:52:07.268" personId="{774B1799-0F56-42BC-9FA2-85D09BC12C0E}" id="{6D371890-CE8B-CB09-BE0C-ADAADB1694B0}">
    <xltc:text>networkCount is the field supplied in the public CSV. The file does not identify the networks, agencies, databases, or data sources represented by the count.</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c9d6a4152d544407" /><Relationship Type="http://schemas.openxmlformats.org/officeDocument/2006/relationships/vmlDrawing" Target="/xl/drawings/vmldrawing.vml" Id="R34a26ec14a934a96" /><Relationship Type="http://schemas.microsoft.com/office/2017/10/relationships/threadedComment" Target="/xl/threadedcomments/threadedcomment.xml" Id="R2cafe7f1201e40ca" /><Relationship Type="http://schemas.openxmlformats.org/officeDocument/2006/relationships/table" Target="/xl/tables/table1.xml" Id="Rcd96b67882204e0a" /></Relationships>
</file>

<file path=xl/worksheets/_rels/sheet3.xml.rels>&#65279;<?xml version="1.0" encoding="utf-8"?><Relationships xmlns="http://schemas.openxmlformats.org/package/2006/relationships"><Relationship Type="http://schemas.openxmlformats.org/officeDocument/2006/relationships/drawing" Target="/xl/drawings/drawing1.xml" Id="Rfb9858cfbd724f8d" /><Relationship Type="http://schemas.openxmlformats.org/officeDocument/2006/relationships/table" Target="/xl/tables/table2.xml" Id="R50769933aea44727" /></Relationships>
</file>

<file path=xl/worksheets/sheet1.xml><?xml version="1.0" encoding="utf-8"?>
<x:worksheet xmlns:x="http://schemas.openxmlformats.org/spreadsheetml/2006/main">
  <x:sheetViews>
    <x:sheetView showGridLines="0" workbookViewId="0"/>
  </x:sheetViews>
  <x:sheetFormatPr defaultRowHeight="15"/>
  <x:cols>
    <x:col min="1" max="1" width="19"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 min="8" max="8" width="19" hidden="0" customWidth="1"/>
  </x:cols>
  <x:sheetData>
    <x:row r="1" ht="32" customHeight="1">
      <x:c r="A1" s="37" t="str">
        <x:v>Sherwood Public Search Audit — 30-Day Examination</x:v>
      </x:c>
      <x:c r="B1" s="37" t="str">
        <x:v>Sherwood Public Search Audit — 30-Day Examination</x:v>
      </x:c>
      <x:c r="C1" s="37" t="str">
        <x:v>Sherwood Public Search Audit — 30-Day Examination</x:v>
      </x:c>
      <x:c r="D1" s="37" t="str">
        <x:v>Sherwood Public Search Audit — 30-Day Examination</x:v>
      </x:c>
      <x:c r="E1" s="37" t="str">
        <x:v>Sherwood Public Search Audit — 30-Day Examination</x:v>
      </x:c>
      <x:c r="F1" s="37" t="str">
        <x:v>Sherwood Public Search Audit — 30-Day Examination</x:v>
      </x:c>
      <x:c r="G1" s="37" t="str">
        <x:v>Sherwood Public Search Audit — 30-Day Examination</x:v>
      </x:c>
      <x:c r="H1" s="37" t="str">
        <x:v>Sherwood Public Search Audit — 30-Day Examination</x:v>
      </x:c>
    </x:row>
    <x:row r="2" ht="34" customHeight="1">
      <x:c r="A2" s="41" t="str">
        <x:v>Source: 8-10-26 Sherwood.csv | Audit window: July 11–August 9, 2026 | UTC timestamps converted to Central Daylight Time (UTC−5)</x:v>
      </x:c>
      <x:c r="B2" s="41" t="str">
        <x:v>Source: 8-10-26 Sherwood.csv | Audit window: July 11–August 9, 2026 | UTC timestamps converted to Central Daylight Time (UTC−5)</x:v>
      </x:c>
      <x:c r="C2" s="41" t="str">
        <x:v>Source: 8-10-26 Sherwood.csv | Audit window: July 11–August 9, 2026 | UTC timestamps converted to Central Daylight Time (UTC−5)</x:v>
      </x:c>
      <x:c r="D2" s="41" t="str">
        <x:v>Source: 8-10-26 Sherwood.csv | Audit window: July 11–August 9, 2026 | UTC timestamps converted to Central Daylight Time (UTC−5)</x:v>
      </x:c>
      <x:c r="E2" s="41" t="str">
        <x:v>Source: 8-10-26 Sherwood.csv | Audit window: July 11–August 9, 2026 | UTC timestamps converted to Central Daylight Time (UTC−5)</x:v>
      </x:c>
      <x:c r="F2" s="41" t="str">
        <x:v>Source: 8-10-26 Sherwood.csv | Audit window: July 11–August 9, 2026 | UTC timestamps converted to Central Daylight Time (UTC−5)</x:v>
      </x:c>
      <x:c r="G2" s="41" t="str">
        <x:v>Source: 8-10-26 Sherwood.csv | Audit window: July 11–August 9, 2026 | UTC timestamps converted to Central Daylight Time (UTC−5)</x:v>
      </x:c>
      <x:c r="H2" s="41" t="str">
        <x:v>Source: 8-10-26 Sherwood.csv | Audit window: July 11–August 9, 2026 | UTC timestamps converted to Central Daylight Time (UTC−5)</x:v>
      </x:c>
    </x:row>
    <x:row r="4">
      <x:c r="A4" s="51" t="str">
        <x:v>Individual search events</x:v>
      </x:c>
      <x:c r="B4" s="51"/>
      <x:c r="C4" s="51" t="str">
        <x:v>Network-search pairings</x:v>
      </x:c>
      <x:c r="D4" s="51"/>
      <x:c r="E4" s="51" t="str">
        <x:v>Average networks/search</x:v>
      </x:c>
      <x:c r="F4" s="51"/>
      <x:c r="G4" s="51" t="str">
        <x:v>Median networks/search</x:v>
      </x:c>
      <x:c r="H4" s="51"/>
    </x:row>
    <x:row r="5">
      <x:c r="A5" s="65" t="n">
        <x:f>COUNTA('Raw Data'!$A$2:$A$186)</x:f>
        <x:v>185</x:v>
      </x:c>
      <x:c r="B5" s="66"/>
      <x:c r="C5" s="65" t="n">
        <x:f>SUM('Raw Data'!$D$2:$D$186)</x:f>
        <x:v>340423</x:v>
      </x:c>
      <x:c r="D5" s="66"/>
      <x:c r="E5" s="65" t="n">
        <x:f>AVERAGE('Raw Data'!$D$2:$D$186)</x:f>
        <x:v>1840.1243243243243</x:v>
      </x:c>
      <x:c r="F5" s="66"/>
      <x:c r="G5" s="65" t="n">
        <x:f>MEDIAN('Raw Data'!$D$2:$D$186)</x:f>
        <x:v>2402</x:v>
      </x:c>
      <x:c r="H5" s="66"/>
    </x:row>
    <x:row r="6">
      <x:c r="A6" s="67"/>
      <x:c r="B6" s="68"/>
      <x:c r="C6" s="67"/>
      <x:c r="D6" s="68"/>
      <x:c r="E6" s="67"/>
      <x:c r="F6" s="68"/>
      <x:c r="G6" s="67"/>
      <x:c r="H6" s="68"/>
    </x:row>
    <x:row r="9" ht="42" customHeight="1">
      <x:c r="A9" s="71" t="str">
        <x:v>Minimum networks/search</x:v>
      </x:c>
      <x:c r="B9" s="71" t="str">
        <x:v>Maximum networks/search</x:v>
      </x:c>
      <x:c r="C9" s="71" t="str">
        <x:v>Searches with 1,000+ networks</x:v>
      </x:c>
      <x:c r="D9" s="71" t="str">
        <x:v>% with 1,000+ networks</x:v>
      </x:c>
      <x:c r="E9" s="71" t="str">
        <x:v>Searches with ~6,250 networks</x:v>
      </x:c>
      <x:c r="F9" s="71" t="str">
        <x:v>All reasons = Investigation</x:v>
      </x:c>
      <x:c r="G9" s="71" t="str">
        <x:v>Redacted user IDs</x:v>
      </x:c>
      <x:c r="H9" s="71" t="str">
        <x:v>Duplicate search IDs</x:v>
      </x:c>
    </x:row>
    <x:row r="10">
      <x:c r="A10" s="76" t="n">
        <x:f>MIN('Raw Data'!$D$2:$D$186)</x:f>
        <x:v>1</x:v>
      </x:c>
      <x:c r="B10" s="76" t="n">
        <x:f>MAX('Raw Data'!$D$2:$D$186)</x:f>
        <x:v>6295</x:v>
      </x:c>
      <x:c r="C10" s="76" t="n">
        <x:f>COUNTIF('Raw Data'!$D$2:$D$186,"&gt;=1000")</x:f>
        <x:v>104</x:v>
      </x:c>
      <x:c r="D10" s="77" t="n">
        <x:f>C10/$A$5</x:f>
        <x:v>0.5621621621621622</x:v>
      </x:c>
      <x:c r="E10" s="76" t="n">
        <x:f>COUNTIF('Raw Data'!$D$2:$D$186,"&gt;=6000")</x:f>
        <x:v>21</x:v>
      </x:c>
      <x:c r="F10" s="76" t="n">
        <x:f>COUNTIF('Raw Data'!$E$2:$E$186,"Investigation")</x:f>
        <x:v>185</x:v>
      </x:c>
      <x:c r="G10" s="76" t="n">
        <x:f>COUNTIF('Raw Data'!$B$2:$B$186,"***")</x:f>
        <x:v>185</x:v>
      </x:c>
      <x:c r="H10" s="76" t="n">
        <x:f>SUM('Raw Data'!$L$2:$L$186)</x:f>
        <x:v>0</x:v>
      </x:c>
    </x:row>
    <x:row r="13">
      <x:c r="A13" s="78" t="str">
        <x:v>Evidence-based conclusions</x:v>
      </x:c>
      <x:c r="B13" s="78" t="str">
        <x:v>Evidence-based conclusions</x:v>
      </x:c>
      <x:c r="C13" s="78" t="str">
        <x:v>Evidence-based conclusions</x:v>
      </x:c>
      <x:c r="D13" s="78" t="str">
        <x:v>Evidence-based conclusions</x:v>
      </x:c>
      <x:c r="E13" s="78" t="str">
        <x:v>Evidence-based conclusions</x:v>
      </x:c>
      <x:c r="F13" s="78" t="str">
        <x:v>Evidence-based conclusions</x:v>
      </x:c>
      <x:c r="G13" s="78" t="str">
        <x:v>Evidence-based conclusions</x:v>
      </x:c>
      <x:c r="H13" s="78" t="str">
        <x:v>Evidence-based conclusions</x:v>
      </x:c>
    </x:row>
    <x:row r="14" ht="42" customHeight="1">
      <x:c r="A14" s="85" t="str">
        <x:v>1</x:v>
      </x:c>
      <x:c r="B14" s="86" t="str">
        <x:v>The file contains 185 unique search-event IDs and 185 unique timestamps. No exact duplicate IDs or timestamps were found.</x:v>
      </x:c>
      <x:c r="C14" s="86"/>
      <x:c r="D14" s="86"/>
      <x:c r="E14" s="86"/>
      <x:c r="F14" s="86"/>
      <x:c r="G14" s="86"/>
      <x:c r="H14" s="87"/>
    </x:row>
    <x:row r="15" ht="42" customHeight="1">
      <x:c r="A15" s="88" t="str">
        <x:v>2</x:v>
      </x:c>
      <x:c r="B15" s="89" t="str">
        <x:v>104 searches (56.2%) included at least 1,000 networks. Twenty-one searches included between 6,248 and 6,295 networks.</x:v>
      </x:c>
      <x:c r="C15" s="89"/>
      <x:c r="D15" s="89"/>
      <x:c r="E15" s="89"/>
      <x:c r="F15" s="89"/>
      <x:c r="G15" s="89"/>
      <x:c r="H15" s="90"/>
    </x:row>
    <x:row r="16" ht="42" customHeight="1">
      <x:c r="A16" s="88" t="str">
        <x:v>3</x:v>
      </x:c>
      <x:c r="B16" s="89" t="str">
        <x:v>Summing networkCount produces 340,423 network-search pairings. It does not establish 340,423 distinct networks, vehicle records, hits, or results.</x:v>
      </x:c>
      <x:c r="C16" s="89"/>
      <x:c r="D16" s="89"/>
      <x:c r="E16" s="89"/>
      <x:c r="F16" s="89"/>
      <x:c r="G16" s="89"/>
      <x:c r="H16" s="90"/>
    </x:row>
    <x:row r="17" ht="42" customHeight="1">
      <x:c r="A17" s="88" t="str">
        <x:v>4</x:v>
      </x:c>
      <x:c r="B17" s="89" t="str">
        <x:v>Every row gives the same reason—“Investigation”—and every user ID is redacted. The public audit therefore cannot tie a search to an officer, case number, particularized purpose, query target, or outcome.</x:v>
      </x:c>
      <x:c r="C17" s="89"/>
      <x:c r="D17" s="89"/>
      <x:c r="E17" s="89"/>
      <x:c r="F17" s="89"/>
      <x:c r="G17" s="89"/>
      <x:c r="H17" s="90"/>
    </x:row>
    <x:row r="18" ht="42" customHeight="1">
      <x:c r="A18" s="91" t="str">
        <x:v>5</x:v>
      </x:c>
      <x:c r="B18" s="92" t="str">
        <x:v>The changing counts within the ~2,400 and ~6,280 tiers are consistent with a changing accessible network universe, but the CSV does not explain the changes.</x:v>
      </x:c>
      <x:c r="C18" s="92"/>
      <x:c r="D18" s="92"/>
      <x:c r="E18" s="92"/>
      <x:c r="F18" s="92"/>
      <x:c r="G18" s="92"/>
      <x:c r="H18" s="93"/>
    </x:row>
    <x:row r="21">
      <x:c r="A21" s="47" t="str">
        <x:v>Bottom line</x:v>
      </x:c>
      <x:c r="B21" s="47" t="str">
        <x:v>Bottom line</x:v>
      </x:c>
      <x:c r="C21" s="47" t="str">
        <x:v>Bottom line</x:v>
      </x:c>
      <x:c r="D21" s="47" t="str">
        <x:v>Bottom line</x:v>
      </x:c>
      <x:c r="E21" s="47" t="str">
        <x:v>Bottom line</x:v>
      </x:c>
      <x:c r="F21" s="47" t="str">
        <x:v>Bottom line</x:v>
      </x:c>
      <x:c r="G21" s="47" t="str">
        <x:v>Bottom line</x:v>
      </x:c>
      <x:c r="H21" s="47" t="str">
        <x:v>Bottom line</x:v>
      </x:c>
    </x:row>
    <x:row r="22" ht="28" customHeight="1">
      <x:c r="A22"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B22"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C22"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D22"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E22"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F22"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G22"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H22"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row>
    <x:row r="23" ht="28" customHeight="1">
      <x:c r="A23"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B23"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C23"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D23"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E23"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F23"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G23"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H23"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row>
    <x:row r="24" ht="28" customHeight="1">
      <x:c r="A24"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B24"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C24"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D24"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E24"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F24"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G24"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c r="H24" s="97" t="str">
        <x:v>This public audit is useful for counting search events, timing, stated reason, and reported network scope. It is not sufficient to determine whether each search complied with Arkansas law or Sherwood policy because it omits the identity of the user, the network/database names, the search target, the case or incident number, the result count, and the investigative outcome.</x:v>
      </x:c>
    </x:row>
    <x:row r="27">
      <x:c r="A27"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B27"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C27"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D27"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E27"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F27"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G27"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H27"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row>
    <x:row r="28">
      <x:c r="A28"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B28"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C28"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D28"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E28"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F28"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G28"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H28"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row>
    <x:row r="29">
      <x:c r="A29"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B29"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C29"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D29"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E29"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F29"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G29"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H29"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row>
  </x:sheetData>
  <x:mergeCells>
    <x:mergeCell ref="A1:H1"/>
    <x:mergeCell ref="A2:H2"/>
    <x:mergeCell ref="A4:B4"/>
    <x:mergeCell ref="C4:D4"/>
    <x:mergeCell ref="E4:F4"/>
    <x:mergeCell ref="G4:H4"/>
    <x:mergeCell ref="A5:B6"/>
    <x:mergeCell ref="C5:D6"/>
    <x:mergeCell ref="E5:F6"/>
    <x:mergeCell ref="G5:H6"/>
    <x:mergeCell ref="A13:H13"/>
    <x:mergeCell ref="B14:H14"/>
    <x:mergeCell ref="B15:H15"/>
    <x:mergeCell ref="B16:H16"/>
    <x:mergeCell ref="B17:H17"/>
    <x:mergeCell ref="B18:H18"/>
    <x:mergeCell ref="A21:H21"/>
    <x:mergeCell ref="A22:H24"/>
    <x:mergeCell ref="A27:H2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9" hidden="0" customWidth="1"/>
    <x:col min="2" max="2" width="11" hidden="0" customWidth="1"/>
    <x:col min="3" max="3" width="27" hidden="0" customWidth="1"/>
    <x:col min="4" max="4" width="15" hidden="0" customWidth="1"/>
    <x:col min="5" max="5" width="18" hidden="0" customWidth="1"/>
    <x:col min="6" max="6" width="26" hidden="0" customWidth="1"/>
    <x:col min="7" max="7" width="14" hidden="0" customWidth="1"/>
    <x:col min="8" max="8" width="11" hidden="0" customWidth="1"/>
    <x:col min="9" max="9" width="13" hidden="0" customWidth="1"/>
    <x:col min="10" max="10" width="27" hidden="0" customWidth="1"/>
    <x:col min="11" max="11" width="20" hidden="0" customWidth="1"/>
    <x:col min="12" max="12" width="20" hidden="0" customWidth="1"/>
    <x:col min="13" max="13" width="20" hidden="0" customWidth="1"/>
    <x:col min="14" max="14" width="25" hidden="0" customWidth="1"/>
    <x:col min="15" max="15" width="22" hidden="0" customWidth="1"/>
  </x:cols>
  <x:sheetData>
    <x:row r="1" ht="38" customHeight="1">
      <x:c r="A1" s="8" t="str">
        <x:v>id</x:v>
      </x:c>
      <x:c r="B1" s="9" t="str">
        <x:v>userId</x:v>
      </x:c>
      <x:c r="C1" s="9" t="str">
        <x:v>searchDate (UTC)</x:v>
      </x:c>
      <x:c r="D1" s="9" t="str">
        <x:v>networkCount</x:v>
      </x:c>
      <x:c r="E1" s="9" t="str">
        <x:v>reason</x:v>
      </x:c>
      <x:c r="F1" s="9" t="str">
        <x:v>Local date/time (CDT)</x:v>
      </x:c>
      <x:c r="G1" s="9" t="str">
        <x:v>Local date</x:v>
      </x:c>
      <x:c r="H1" s="9" t="str">
        <x:v>Local hour</x:v>
      </x:c>
      <x:c r="I1" s="9" t="str">
        <x:v>Weekday</x:v>
      </x:c>
      <x:c r="J1" s="9" t="str">
        <x:v>Observed scope tier</x:v>
      </x:c>
      <x:c r="K1" s="9" t="str">
        <x:v>Off-hours flag (22:00–05:59)</x:v>
      </x:c>
      <x:c r="L1" s="9" t="str">
        <x:v>Duplicate ID flag</x:v>
      </x:c>
      <x:c r="M1" s="9" t="str">
        <x:v>Weekend flag</x:v>
      </x:c>
      <x:c r="N1" s="9" t="str">
        <x:v>Gap from prior search (seconds)</x:v>
      </x:c>
      <x:c r="O1" s="10" t="str">
        <x:v>Rapid-repeat flag (≤60 sec)</x:v>
      </x:c>
    </x:row>
    <x:row r="2">
      <x:c r="A2" s="11" t="str">
        <x:v>02b3465b-2840-4d84-b25f-33244df3eb93</x:v>
      </x:c>
      <x:c r="B2" s="12" t="str">
        <x:v>***</x:v>
      </x:c>
      <x:c r="C2" s="13" t="str">
        <x:v>UTC 2026-07-11T16:20:52.664Z</x:v>
      </x:c>
      <x:c r="D2" s="14" t="n">
        <x:v>134</x:v>
      </x:c>
      <x:c r="E2" s="12" t="str">
        <x:v>Investigation</x:v>
      </x:c>
      <x:c r="F2" s="12" t="str">
        <x:v>2026-07-11 11:20:52 CDT</x:v>
      </x:c>
      <x:c r="G2" s="12" t="str">
        <x:v>2026-07-11</x:v>
      </x:c>
      <x:c r="H2" s="15" t="n">
        <x:v>11</x:v>
      </x:c>
      <x:c r="I2" s="12" t="str">
        <x:v>Saturday</x:v>
      </x:c>
      <x:c r="J2" s="12" t="str">
        <x:f>IF(D2=1,"1 network",IF(D2&lt;=135,"133–135 networks",IF(D2&lt;6000,"2,342–2,489 networks","6,248–6,295 networks")))</x:f>
        <x:v>133–135 networks</x:v>
      </x:c>
      <x:c r="K2" s="12" t="n">
        <x:f>IF(OR(H2&lt;6,H2&gt;=22),1,0)</x:f>
        <x:v>0</x:v>
      </x:c>
      <x:c r="L2" s="12" t="n">
        <x:f>IF(COUNTIF($A$2:$A$186,A2)&gt;1,1,0)</x:f>
        <x:v>0</x:v>
      </x:c>
      <x:c r="M2" s="12" t="n">
        <x:f>IF(OR(I2="Saturday",I2="Sunday"),1,0)</x:f>
        <x:v>1</x:v>
      </x:c>
      <x:c r="N2" s="23"/>
      <x:c r="O2" s="16" t="n">
        <x:f>IF(AND(N2&lt;&gt;"",N2&lt;=60),1,0)</x:f>
        <x:v>0</x:v>
      </x:c>
    </x:row>
    <x:row r="3">
      <x:c r="A3" s="11" t="str">
        <x:v>84708bdf-8c8e-40f6-a610-0d02cabd2467</x:v>
      </x:c>
      <x:c r="B3" s="12" t="str">
        <x:v>***</x:v>
      </x:c>
      <x:c r="C3" s="13" t="str">
        <x:v>UTC 2026-07-11T21:01:55.074Z</x:v>
      </x:c>
      <x:c r="D3" s="14" t="n">
        <x:v>2406</x:v>
      </x:c>
      <x:c r="E3" s="12" t="str">
        <x:v>Investigation</x:v>
      </x:c>
      <x:c r="F3" s="12" t="str">
        <x:v>2026-07-11 16:01:55 CDT</x:v>
      </x:c>
      <x:c r="G3" s="12" t="str">
        <x:v>2026-07-11</x:v>
      </x:c>
      <x:c r="H3" s="15" t="n">
        <x:v>16</x:v>
      </x:c>
      <x:c r="I3" s="12" t="str">
        <x:v>Saturday</x:v>
      </x:c>
      <x:c r="J3" s="12" t="str">
        <x:f>IF(D3=1,"1 network",IF(D3&lt;=135,"133–135 networks",IF(D3&lt;6000,"2,342–2,489 networks","6,248–6,295 networks")))</x:f>
        <x:v>2,342–2,489 networks</x:v>
      </x:c>
      <x:c r="K3" s="12" t="n">
        <x:f>IF(OR(H3&lt;6,H3&gt;=22),1,0)</x:f>
        <x:v>0</x:v>
      </x:c>
      <x:c r="L3" s="12" t="n">
        <x:f>IF(COUNTIF($A$2:$A$186,A3)&gt;1,1,0)</x:f>
        <x:v>0</x:v>
      </x:c>
      <x:c r="M3" s="12" t="n">
        <x:f>IF(OR(I3="Saturday",I3="Sunday"),1,0)</x:f>
        <x:v>1</x:v>
      </x:c>
      <x:c r="N3" s="23" t="n">
        <x:v>16862.41</x:v>
      </x:c>
      <x:c r="O3" s="16" t="n">
        <x:f>IF(AND(N3&lt;&gt;"",N3&lt;=60),1,0)</x:f>
        <x:v>0</x:v>
      </x:c>
    </x:row>
    <x:row r="4">
      <x:c r="A4" s="11" t="str">
        <x:v>212b3cb3-1d4a-41f8-8a66-b8ded4340b27</x:v>
      </x:c>
      <x:c r="B4" s="12" t="str">
        <x:v>***</x:v>
      </x:c>
      <x:c r="C4" s="13" t="str">
        <x:v>UTC 2026-07-11T22:15:00.782Z</x:v>
      </x:c>
      <x:c r="D4" s="14" t="n">
        <x:v>2489</x:v>
      </x:c>
      <x:c r="E4" s="12" t="str">
        <x:v>Investigation</x:v>
      </x:c>
      <x:c r="F4" s="12" t="str">
        <x:v>2026-07-11 17:15:00 CDT</x:v>
      </x:c>
      <x:c r="G4" s="12" t="str">
        <x:v>2026-07-11</x:v>
      </x:c>
      <x:c r="H4" s="15" t="n">
        <x:v>17</x:v>
      </x:c>
      <x:c r="I4" s="12" t="str">
        <x:v>Saturday</x:v>
      </x:c>
      <x:c r="J4" s="12" t="str">
        <x:f>IF(D4=1,"1 network",IF(D4&lt;=135,"133–135 networks",IF(D4&lt;6000,"2,342–2,489 networks","6,248–6,295 networks")))</x:f>
        <x:v>2,342–2,489 networks</x:v>
      </x:c>
      <x:c r="K4" s="12" t="n">
        <x:f>IF(OR(H4&lt;6,H4&gt;=22),1,0)</x:f>
        <x:v>0</x:v>
      </x:c>
      <x:c r="L4" s="12" t="n">
        <x:f>IF(COUNTIF($A$2:$A$186,A4)&gt;1,1,0)</x:f>
        <x:v>0</x:v>
      </x:c>
      <x:c r="M4" s="12" t="n">
        <x:f>IF(OR(I4="Saturday",I4="Sunday"),1,0)</x:f>
        <x:v>1</x:v>
      </x:c>
      <x:c r="N4" s="23" t="n">
        <x:v>4385.708</x:v>
      </x:c>
      <x:c r="O4" s="16" t="n">
        <x:f>IF(AND(N4&lt;&gt;"",N4&lt;=60),1,0)</x:f>
        <x:v>0</x:v>
      </x:c>
    </x:row>
    <x:row r="5">
      <x:c r="A5" s="11" t="str">
        <x:v>1eb72a76-a5c4-48fb-8d3d-bfea97461284</x:v>
      </x:c>
      <x:c r="B5" s="12" t="str">
        <x:v>***</x:v>
      </x:c>
      <x:c r="C5" s="13" t="str">
        <x:v>UTC 2026-07-12T02:04:09.614Z</x:v>
      </x:c>
      <x:c r="D5" s="14" t="n">
        <x:v>2489</x:v>
      </x:c>
      <x:c r="E5" s="12" t="str">
        <x:v>Investigation</x:v>
      </x:c>
      <x:c r="F5" s="12" t="str">
        <x:v>2026-07-11 21:04:09 CDT</x:v>
      </x:c>
      <x:c r="G5" s="12" t="str">
        <x:v>2026-07-11</x:v>
      </x:c>
      <x:c r="H5" s="15" t="n">
        <x:v>21</x:v>
      </x:c>
      <x:c r="I5" s="12" t="str">
        <x:v>Saturday</x:v>
      </x:c>
      <x:c r="J5" s="12" t="str">
        <x:f>IF(D5=1,"1 network",IF(D5&lt;=135,"133–135 networks",IF(D5&lt;6000,"2,342–2,489 networks","6,248–6,295 networks")))</x:f>
        <x:v>2,342–2,489 networks</x:v>
      </x:c>
      <x:c r="K5" s="12" t="n">
        <x:f>IF(OR(H5&lt;6,H5&gt;=22),1,0)</x:f>
        <x:v>0</x:v>
      </x:c>
      <x:c r="L5" s="12" t="n">
        <x:f>IF(COUNTIF($A$2:$A$186,A5)&gt;1,1,0)</x:f>
        <x:v>0</x:v>
      </x:c>
      <x:c r="M5" s="12" t="n">
        <x:f>IF(OR(I5="Saturday",I5="Sunday"),1,0)</x:f>
        <x:v>1</x:v>
      </x:c>
      <x:c r="N5" s="23" t="n">
        <x:v>13748.832</x:v>
      </x:c>
      <x:c r="O5" s="16" t="n">
        <x:f>IF(AND(N5&lt;&gt;"",N5&lt;=60),1,0)</x:f>
        <x:v>0</x:v>
      </x:c>
    </x:row>
    <x:row r="6">
      <x:c r="A6" s="11" t="str">
        <x:v>4dba8477-9552-4a8f-a079-3315c9b75b35</x:v>
      </x:c>
      <x:c r="B6" s="12" t="str">
        <x:v>***</x:v>
      </x:c>
      <x:c r="C6" s="13" t="str">
        <x:v>UTC 2026-07-12T21:13:00.156Z</x:v>
      </x:c>
      <x:c r="D6" s="14" t="n">
        <x:v>2405</x:v>
      </x:c>
      <x:c r="E6" s="12" t="str">
        <x:v>Investigation</x:v>
      </x:c>
      <x:c r="F6" s="12" t="str">
        <x:v>2026-07-12 16:13:00 CDT</x:v>
      </x:c>
      <x:c r="G6" s="12" t="str">
        <x:v>2026-07-12</x:v>
      </x:c>
      <x:c r="H6" s="15" t="n">
        <x:v>16</x:v>
      </x:c>
      <x:c r="I6" s="12" t="str">
        <x:v>Sunday</x:v>
      </x:c>
      <x:c r="J6" s="12" t="str">
        <x:f>IF(D6=1,"1 network",IF(D6&lt;=135,"133–135 networks",IF(D6&lt;6000,"2,342–2,489 networks","6,248–6,295 networks")))</x:f>
        <x:v>2,342–2,489 networks</x:v>
      </x:c>
      <x:c r="K6" s="12" t="n">
        <x:f>IF(OR(H6&lt;6,H6&gt;=22),1,0)</x:f>
        <x:v>0</x:v>
      </x:c>
      <x:c r="L6" s="12" t="n">
        <x:f>IF(COUNTIF($A$2:$A$186,A6)&gt;1,1,0)</x:f>
        <x:v>0</x:v>
      </x:c>
      <x:c r="M6" s="12" t="n">
        <x:f>IF(OR(I6="Saturday",I6="Sunday"),1,0)</x:f>
        <x:v>1</x:v>
      </x:c>
      <x:c r="N6" s="23" t="n">
        <x:v>68930.542</x:v>
      </x:c>
      <x:c r="O6" s="16" t="n">
        <x:f>IF(AND(N6&lt;&gt;"",N6&lt;=60),1,0)</x:f>
        <x:v>0</x:v>
      </x:c>
    </x:row>
    <x:row r="7">
      <x:c r="A7" s="11" t="str">
        <x:v>46253d42-d774-435b-8059-e9a14c79ceb1</x:v>
      </x:c>
      <x:c r="B7" s="12" t="str">
        <x:v>***</x:v>
      </x:c>
      <x:c r="C7" s="13" t="str">
        <x:v>UTC 2026-07-13T07:34:52.027Z</x:v>
      </x:c>
      <x:c r="D7" s="14" t="n">
        <x:v>1</x:v>
      </x:c>
      <x:c r="E7" s="12" t="str">
        <x:v>Investigation</x:v>
      </x:c>
      <x:c r="F7" s="12" t="str">
        <x:v>2026-07-13 02:34:52 CDT</x:v>
      </x:c>
      <x:c r="G7" s="12" t="str">
        <x:v>2026-07-13</x:v>
      </x:c>
      <x:c r="H7" s="15" t="n">
        <x:v>2</x:v>
      </x:c>
      <x:c r="I7" s="12" t="str">
        <x:v>Monday</x:v>
      </x:c>
      <x:c r="J7" s="12" t="str">
        <x:f>IF(D7=1,"1 network",IF(D7&lt;=135,"133–135 networks",IF(D7&lt;6000,"2,342–2,489 networks","6,248–6,295 networks")))</x:f>
        <x:v>1 network</x:v>
      </x:c>
      <x:c r="K7" s="12" t="n">
        <x:f>IF(OR(H7&lt;6,H7&gt;=22),1,0)</x:f>
        <x:v>1</x:v>
      </x:c>
      <x:c r="L7" s="12" t="n">
        <x:f>IF(COUNTIF($A$2:$A$186,A7)&gt;1,1,0)</x:f>
        <x:v>0</x:v>
      </x:c>
      <x:c r="M7" s="12" t="n">
        <x:f>IF(OR(I7="Saturday",I7="Sunday"),1,0)</x:f>
        <x:v>0</x:v>
      </x:c>
      <x:c r="N7" s="23" t="n">
        <x:v>37311.871</x:v>
      </x:c>
      <x:c r="O7" s="16" t="n">
        <x:f>IF(AND(N7&lt;&gt;"",N7&lt;=60),1,0)</x:f>
        <x:v>0</x:v>
      </x:c>
    </x:row>
    <x:row r="8">
      <x:c r="A8" s="11" t="str">
        <x:v>329adf6d-f0f8-403d-a47b-1887b87d7fe4</x:v>
      </x:c>
      <x:c r="B8" s="12" t="str">
        <x:v>***</x:v>
      </x:c>
      <x:c r="C8" s="13" t="str">
        <x:v>UTC 2026-07-13T10:02:53.776Z</x:v>
      </x:c>
      <x:c r="D8" s="14" t="n">
        <x:v>1</x:v>
      </x:c>
      <x:c r="E8" s="12" t="str">
        <x:v>Investigation</x:v>
      </x:c>
      <x:c r="F8" s="12" t="str">
        <x:v>2026-07-13 05:02:53 CDT</x:v>
      </x:c>
      <x:c r="G8" s="12" t="str">
        <x:v>2026-07-13</x:v>
      </x:c>
      <x:c r="H8" s="15" t="n">
        <x:v>5</x:v>
      </x:c>
      <x:c r="I8" s="12" t="str">
        <x:v>Monday</x:v>
      </x:c>
      <x:c r="J8" s="12" t="str">
        <x:f>IF(D8=1,"1 network",IF(D8&lt;=135,"133–135 networks",IF(D8&lt;6000,"2,342–2,489 networks","6,248–6,295 networks")))</x:f>
        <x:v>1 network</x:v>
      </x:c>
      <x:c r="K8" s="12" t="n">
        <x:f>IF(OR(H8&lt;6,H8&gt;=22),1,0)</x:f>
        <x:v>1</x:v>
      </x:c>
      <x:c r="L8" s="12" t="n">
        <x:f>IF(COUNTIF($A$2:$A$186,A8)&gt;1,1,0)</x:f>
        <x:v>0</x:v>
      </x:c>
      <x:c r="M8" s="12" t="n">
        <x:f>IF(OR(I8="Saturday",I8="Sunday"),1,0)</x:f>
        <x:v>0</x:v>
      </x:c>
      <x:c r="N8" s="23" t="n">
        <x:v>8881.749</x:v>
      </x:c>
      <x:c r="O8" s="16" t="n">
        <x:f>IF(AND(N8&lt;&gt;"",N8&lt;=60),1,0)</x:f>
        <x:v>0</x:v>
      </x:c>
    </x:row>
    <x:row r="9">
      <x:c r="A9" s="11" t="str">
        <x:v>6e48c5ec-5a15-42a9-9353-e145e05f896c</x:v>
      </x:c>
      <x:c r="B9" s="12" t="str">
        <x:v>***</x:v>
      </x:c>
      <x:c r="C9" s="13" t="str">
        <x:v>UTC 2026-07-13T11:07:41.494Z</x:v>
      </x:c>
      <x:c r="D9" s="14" t="n">
        <x:v>2488</x:v>
      </x:c>
      <x:c r="E9" s="12" t="str">
        <x:v>Investigation</x:v>
      </x:c>
      <x:c r="F9" s="12" t="str">
        <x:v>2026-07-13 06:07:41 CDT</x:v>
      </x:c>
      <x:c r="G9" s="12" t="str">
        <x:v>2026-07-13</x:v>
      </x:c>
      <x:c r="H9" s="15" t="n">
        <x:v>6</x:v>
      </x:c>
      <x:c r="I9" s="12" t="str">
        <x:v>Monday</x:v>
      </x:c>
      <x:c r="J9" s="12" t="str">
        <x:f>IF(D9=1,"1 network",IF(D9&lt;=135,"133–135 networks",IF(D9&lt;6000,"2,342–2,489 networks","6,248–6,295 networks")))</x:f>
        <x:v>2,342–2,489 networks</x:v>
      </x:c>
      <x:c r="K9" s="12" t="n">
        <x:f>IF(OR(H9&lt;6,H9&gt;=22),1,0)</x:f>
        <x:v>0</x:v>
      </x:c>
      <x:c r="L9" s="12" t="n">
        <x:f>IF(COUNTIF($A$2:$A$186,A9)&gt;1,1,0)</x:f>
        <x:v>0</x:v>
      </x:c>
      <x:c r="M9" s="12" t="n">
        <x:f>IF(OR(I9="Saturday",I9="Sunday"),1,0)</x:f>
        <x:v>0</x:v>
      </x:c>
      <x:c r="N9" s="23" t="n">
        <x:v>3887.718</x:v>
      </x:c>
      <x:c r="O9" s="16" t="n">
        <x:f>IF(AND(N9&lt;&gt;"",N9&lt;=60),1,0)</x:f>
        <x:v>0</x:v>
      </x:c>
    </x:row>
    <x:row r="10">
      <x:c r="A10" s="11" t="str">
        <x:v>d49b5c5b-45f9-43e6-9b60-586190d15050</x:v>
      </x:c>
      <x:c r="B10" s="12" t="str">
        <x:v>***</x:v>
      </x:c>
      <x:c r="C10" s="13" t="str">
        <x:v>UTC 2026-07-13T11:58:16.525Z</x:v>
      </x:c>
      <x:c r="D10" s="14" t="n">
        <x:v>1</x:v>
      </x:c>
      <x:c r="E10" s="12" t="str">
        <x:v>Investigation</x:v>
      </x:c>
      <x:c r="F10" s="12" t="str">
        <x:v>2026-07-13 06:58:16 CDT</x:v>
      </x:c>
      <x:c r="G10" s="12" t="str">
        <x:v>2026-07-13</x:v>
      </x:c>
      <x:c r="H10" s="15" t="n">
        <x:v>6</x:v>
      </x:c>
      <x:c r="I10" s="12" t="str">
        <x:v>Monday</x:v>
      </x:c>
      <x:c r="J10" s="12" t="str">
        <x:f>IF(D10=1,"1 network",IF(D10&lt;=135,"133–135 networks",IF(D10&lt;6000,"2,342–2,489 networks","6,248–6,295 networks")))</x:f>
        <x:v>1 network</x:v>
      </x:c>
      <x:c r="K10" s="12" t="n">
        <x:f>IF(OR(H10&lt;6,H10&gt;=22),1,0)</x:f>
        <x:v>0</x:v>
      </x:c>
      <x:c r="L10" s="12" t="n">
        <x:f>IF(COUNTIF($A$2:$A$186,A10)&gt;1,1,0)</x:f>
        <x:v>0</x:v>
      </x:c>
      <x:c r="M10" s="12" t="n">
        <x:f>IF(OR(I10="Saturday",I10="Sunday"),1,0)</x:f>
        <x:v>0</x:v>
      </x:c>
      <x:c r="N10" s="23" t="n">
        <x:v>3035.031</x:v>
      </x:c>
      <x:c r="O10" s="16" t="n">
        <x:f>IF(AND(N10&lt;&gt;"",N10&lt;=60),1,0)</x:f>
        <x:v>0</x:v>
      </x:c>
    </x:row>
    <x:row r="11">
      <x:c r="A11" s="11" t="str">
        <x:v>aae47834-747c-4b62-86f8-d12342dddaf8</x:v>
      </x:c>
      <x:c r="B11" s="12" t="str">
        <x:v>***</x:v>
      </x:c>
      <x:c r="C11" s="13" t="str">
        <x:v>UTC 2026-07-13T12:09:06.922Z</x:v>
      </x:c>
      <x:c r="D11" s="14" t="n">
        <x:v>2488</x:v>
      </x:c>
      <x:c r="E11" s="12" t="str">
        <x:v>Investigation</x:v>
      </x:c>
      <x:c r="F11" s="12" t="str">
        <x:v>2026-07-13 07:09:06 CDT</x:v>
      </x:c>
      <x:c r="G11" s="12" t="str">
        <x:v>2026-07-13</x:v>
      </x:c>
      <x:c r="H11" s="15" t="n">
        <x:v>7</x:v>
      </x:c>
      <x:c r="I11" s="12" t="str">
        <x:v>Monday</x:v>
      </x:c>
      <x:c r="J11" s="12" t="str">
        <x:f>IF(D11=1,"1 network",IF(D11&lt;=135,"133–135 networks",IF(D11&lt;6000,"2,342–2,489 networks","6,248–6,295 networks")))</x:f>
        <x:v>2,342–2,489 networks</x:v>
      </x:c>
      <x:c r="K11" s="12" t="n">
        <x:f>IF(OR(H11&lt;6,H11&gt;=22),1,0)</x:f>
        <x:v>0</x:v>
      </x:c>
      <x:c r="L11" s="12" t="n">
        <x:f>IF(COUNTIF($A$2:$A$186,A11)&gt;1,1,0)</x:f>
        <x:v>0</x:v>
      </x:c>
      <x:c r="M11" s="12" t="n">
        <x:f>IF(OR(I11="Saturday",I11="Sunday"),1,0)</x:f>
        <x:v>0</x:v>
      </x:c>
      <x:c r="N11" s="23" t="n">
        <x:v>650.397</x:v>
      </x:c>
      <x:c r="O11" s="16" t="n">
        <x:f>IF(AND(N11&lt;&gt;"",N11&lt;=60),1,0)</x:f>
        <x:v>0</x:v>
      </x:c>
    </x:row>
    <x:row r="12">
      <x:c r="A12" s="11" t="str">
        <x:v>3ddda771-facf-44bd-af1f-ada69469b7f5</x:v>
      </x:c>
      <x:c r="B12" s="12" t="str">
        <x:v>***</x:v>
      </x:c>
      <x:c r="C12" s="13" t="str">
        <x:v>UTC 2026-07-13T13:18:43.668Z</x:v>
      </x:c>
      <x:c r="D12" s="14" t="n">
        <x:v>2488</x:v>
      </x:c>
      <x:c r="E12" s="12" t="str">
        <x:v>Investigation</x:v>
      </x:c>
      <x:c r="F12" s="12" t="str">
        <x:v>2026-07-13 08:18:43 CDT</x:v>
      </x:c>
      <x:c r="G12" s="12" t="str">
        <x:v>2026-07-13</x:v>
      </x:c>
      <x:c r="H12" s="15" t="n">
        <x:v>8</x:v>
      </x:c>
      <x:c r="I12" s="12" t="str">
        <x:v>Monday</x:v>
      </x:c>
      <x:c r="J12" s="12" t="str">
        <x:f>IF(D12=1,"1 network",IF(D12&lt;=135,"133–135 networks",IF(D12&lt;6000,"2,342–2,489 networks","6,248–6,295 networks")))</x:f>
        <x:v>2,342–2,489 networks</x:v>
      </x:c>
      <x:c r="K12" s="12" t="n">
        <x:f>IF(OR(H12&lt;6,H12&gt;=22),1,0)</x:f>
        <x:v>0</x:v>
      </x:c>
      <x:c r="L12" s="12" t="n">
        <x:f>IF(COUNTIF($A$2:$A$186,A12)&gt;1,1,0)</x:f>
        <x:v>0</x:v>
      </x:c>
      <x:c r="M12" s="12" t="n">
        <x:f>IF(OR(I12="Saturday",I12="Sunday"),1,0)</x:f>
        <x:v>0</x:v>
      </x:c>
      <x:c r="N12" s="23" t="n">
        <x:v>4176.746</x:v>
      </x:c>
      <x:c r="O12" s="16" t="n">
        <x:f>IF(AND(N12&lt;&gt;"",N12&lt;=60),1,0)</x:f>
        <x:v>0</x:v>
      </x:c>
    </x:row>
    <x:row r="13">
      <x:c r="A13" s="11" t="str">
        <x:v>686b1950-be58-4092-85bb-0174c1ce3177</x:v>
      </x:c>
      <x:c r="B13" s="12" t="str">
        <x:v>***</x:v>
      </x:c>
      <x:c r="C13" s="13" t="str">
        <x:v>UTC 2026-07-13T17:14:04.418Z</x:v>
      </x:c>
      <x:c r="D13" s="14" t="n">
        <x:v>2404</x:v>
      </x:c>
      <x:c r="E13" s="12" t="str">
        <x:v>Investigation</x:v>
      </x:c>
      <x:c r="F13" s="12" t="str">
        <x:v>2026-07-13 12:14:04 CDT</x:v>
      </x:c>
      <x:c r="G13" s="12" t="str">
        <x:v>2026-07-13</x:v>
      </x:c>
      <x:c r="H13" s="15" t="n">
        <x:v>12</x:v>
      </x:c>
      <x:c r="I13" s="12" t="str">
        <x:v>Monday</x:v>
      </x:c>
      <x:c r="J13" s="12" t="str">
        <x:f>IF(D13=1,"1 network",IF(D13&lt;=135,"133–135 networks",IF(D13&lt;6000,"2,342–2,489 networks","6,248–6,295 networks")))</x:f>
        <x:v>2,342–2,489 networks</x:v>
      </x:c>
      <x:c r="K13" s="12" t="n">
        <x:f>IF(OR(H13&lt;6,H13&gt;=22),1,0)</x:f>
        <x:v>0</x:v>
      </x:c>
      <x:c r="L13" s="12" t="n">
        <x:f>IF(COUNTIF($A$2:$A$186,A13)&gt;1,1,0)</x:f>
        <x:v>0</x:v>
      </x:c>
      <x:c r="M13" s="12" t="n">
        <x:f>IF(OR(I13="Saturday",I13="Sunday"),1,0)</x:f>
        <x:v>0</x:v>
      </x:c>
      <x:c r="N13" s="23" t="n">
        <x:v>14120.75</x:v>
      </x:c>
      <x:c r="O13" s="16" t="n">
        <x:f>IF(AND(N13&lt;&gt;"",N13&lt;=60),1,0)</x:f>
        <x:v>0</x:v>
      </x:c>
    </x:row>
    <x:row r="14">
      <x:c r="A14" s="11" t="str">
        <x:v>8b1f125c-c052-481a-ae5a-dc25ea2c2cf2</x:v>
      </x:c>
      <x:c r="B14" s="12" t="str">
        <x:v>***</x:v>
      </x:c>
      <x:c r="C14" s="13" t="str">
        <x:v>UTC 2026-07-13T17:52:26.412Z</x:v>
      </x:c>
      <x:c r="D14" s="14" t="n">
        <x:v>1</x:v>
      </x:c>
      <x:c r="E14" s="12" t="str">
        <x:v>Investigation</x:v>
      </x:c>
      <x:c r="F14" s="12" t="str">
        <x:v>2026-07-13 12:52:26 CDT</x:v>
      </x:c>
      <x:c r="G14" s="12" t="str">
        <x:v>2026-07-13</x:v>
      </x:c>
      <x:c r="H14" s="15" t="n">
        <x:v>12</x:v>
      </x:c>
      <x:c r="I14" s="12" t="str">
        <x:v>Monday</x:v>
      </x:c>
      <x:c r="J14" s="12" t="str">
        <x:f>IF(D14=1,"1 network",IF(D14&lt;=135,"133–135 networks",IF(D14&lt;6000,"2,342–2,489 networks","6,248–6,295 networks")))</x:f>
        <x:v>1 network</x:v>
      </x:c>
      <x:c r="K14" s="12" t="n">
        <x:f>IF(OR(H14&lt;6,H14&gt;=22),1,0)</x:f>
        <x:v>0</x:v>
      </x:c>
      <x:c r="L14" s="12" t="n">
        <x:f>IF(COUNTIF($A$2:$A$186,A14)&gt;1,1,0)</x:f>
        <x:v>0</x:v>
      </x:c>
      <x:c r="M14" s="12" t="n">
        <x:f>IF(OR(I14="Saturday",I14="Sunday"),1,0)</x:f>
        <x:v>0</x:v>
      </x:c>
      <x:c r="N14" s="23" t="n">
        <x:v>2301.994</x:v>
      </x:c>
      <x:c r="O14" s="16" t="n">
        <x:f>IF(AND(N14&lt;&gt;"",N14&lt;=60),1,0)</x:f>
        <x:v>0</x:v>
      </x:c>
    </x:row>
    <x:row r="15">
      <x:c r="A15" s="11" t="str">
        <x:v>e8dbc738-dc3d-4bbe-8ee0-5e4cbdad1c2f</x:v>
      </x:c>
      <x:c r="B15" s="12" t="str">
        <x:v>***</x:v>
      </x:c>
      <x:c r="C15" s="13" t="str">
        <x:v>UTC 2026-07-13T18:32:31.225Z</x:v>
      </x:c>
      <x:c r="D15" s="14" t="n">
        <x:v>6292</x:v>
      </x:c>
      <x:c r="E15" s="12" t="str">
        <x:v>Investigation</x:v>
      </x:c>
      <x:c r="F15" s="12" t="str">
        <x:v>2026-07-13 13:32:31 CDT</x:v>
      </x:c>
      <x:c r="G15" s="12" t="str">
        <x:v>2026-07-13</x:v>
      </x:c>
      <x:c r="H15" s="15" t="n">
        <x:v>13</x:v>
      </x:c>
      <x:c r="I15" s="12" t="str">
        <x:v>Monday</x:v>
      </x:c>
      <x:c r="J15" s="12" t="str">
        <x:f>IF(D15=1,"1 network",IF(D15&lt;=135,"133–135 networks",IF(D15&lt;6000,"2,342–2,489 networks","6,248–6,295 networks")))</x:f>
        <x:v>6,248–6,295 networks</x:v>
      </x:c>
      <x:c r="K15" s="12" t="n">
        <x:f>IF(OR(H15&lt;6,H15&gt;=22),1,0)</x:f>
        <x:v>0</x:v>
      </x:c>
      <x:c r="L15" s="12" t="n">
        <x:f>IF(COUNTIF($A$2:$A$186,A15)&gt;1,1,0)</x:f>
        <x:v>0</x:v>
      </x:c>
      <x:c r="M15" s="12" t="n">
        <x:f>IF(OR(I15="Saturday",I15="Sunday"),1,0)</x:f>
        <x:v>0</x:v>
      </x:c>
      <x:c r="N15" s="23" t="n">
        <x:v>2404.813</x:v>
      </x:c>
      <x:c r="O15" s="16" t="n">
        <x:f>IF(AND(N15&lt;&gt;"",N15&lt;=60),1,0)</x:f>
        <x:v>0</x:v>
      </x:c>
    </x:row>
    <x:row r="16">
      <x:c r="A16" s="11" t="str">
        <x:v>3b641cff-31d8-48cb-a2d6-c58ab0329c6e</x:v>
      </x:c>
      <x:c r="B16" s="12" t="str">
        <x:v>***</x:v>
      </x:c>
      <x:c r="C16" s="13" t="str">
        <x:v>UTC 2026-07-13T19:41:49.459Z</x:v>
      </x:c>
      <x:c r="D16" s="14" t="n">
        <x:v>2487</x:v>
      </x:c>
      <x:c r="E16" s="12" t="str">
        <x:v>Investigation</x:v>
      </x:c>
      <x:c r="F16" s="12" t="str">
        <x:v>2026-07-13 14:41:49 CDT</x:v>
      </x:c>
      <x:c r="G16" s="12" t="str">
        <x:v>2026-07-13</x:v>
      </x:c>
      <x:c r="H16" s="15" t="n">
        <x:v>14</x:v>
      </x:c>
      <x:c r="I16" s="12" t="str">
        <x:v>Monday</x:v>
      </x:c>
      <x:c r="J16" s="12" t="str">
        <x:f>IF(D16=1,"1 network",IF(D16&lt;=135,"133–135 networks",IF(D16&lt;6000,"2,342–2,489 networks","6,248–6,295 networks")))</x:f>
        <x:v>2,342–2,489 networks</x:v>
      </x:c>
      <x:c r="K16" s="12" t="n">
        <x:f>IF(OR(H16&lt;6,H16&gt;=22),1,0)</x:f>
        <x:v>0</x:v>
      </x:c>
      <x:c r="L16" s="12" t="n">
        <x:f>IF(COUNTIF($A$2:$A$186,A16)&gt;1,1,0)</x:f>
        <x:v>0</x:v>
      </x:c>
      <x:c r="M16" s="12" t="n">
        <x:f>IF(OR(I16="Saturday",I16="Sunday"),1,0)</x:f>
        <x:v>0</x:v>
      </x:c>
      <x:c r="N16" s="23" t="n">
        <x:v>4158.234</x:v>
      </x:c>
      <x:c r="O16" s="16" t="n">
        <x:f>IF(AND(N16&lt;&gt;"",N16&lt;=60),1,0)</x:f>
        <x:v>0</x:v>
      </x:c>
    </x:row>
    <x:row r="17">
      <x:c r="A17" s="11" t="str">
        <x:v>df4662e3-d3e2-4b75-99e2-5a4c8802369c</x:v>
      </x:c>
      <x:c r="B17" s="12" t="str">
        <x:v>***</x:v>
      </x:c>
      <x:c r="C17" s="13" t="str">
        <x:v>UTC 2026-07-13T20:51:39.014Z</x:v>
      </x:c>
      <x:c r="D17" s="14" t="n">
        <x:v>6292</x:v>
      </x:c>
      <x:c r="E17" s="12" t="str">
        <x:v>Investigation</x:v>
      </x:c>
      <x:c r="F17" s="12" t="str">
        <x:v>2026-07-13 15:51:39 CDT</x:v>
      </x:c>
      <x:c r="G17" s="12" t="str">
        <x:v>2026-07-13</x:v>
      </x:c>
      <x:c r="H17" s="15" t="n">
        <x:v>15</x:v>
      </x:c>
      <x:c r="I17" s="12" t="str">
        <x:v>Monday</x:v>
      </x:c>
      <x:c r="J17" s="12" t="str">
        <x:f>IF(D17=1,"1 network",IF(D17&lt;=135,"133–135 networks",IF(D17&lt;6000,"2,342–2,489 networks","6,248–6,295 networks")))</x:f>
        <x:v>6,248–6,295 networks</x:v>
      </x:c>
      <x:c r="K17" s="12" t="n">
        <x:f>IF(OR(H17&lt;6,H17&gt;=22),1,0)</x:f>
        <x:v>0</x:v>
      </x:c>
      <x:c r="L17" s="12" t="n">
        <x:f>IF(COUNTIF($A$2:$A$186,A17)&gt;1,1,0)</x:f>
        <x:v>0</x:v>
      </x:c>
      <x:c r="M17" s="12" t="n">
        <x:f>IF(OR(I17="Saturday",I17="Sunday"),1,0)</x:f>
        <x:v>0</x:v>
      </x:c>
      <x:c r="N17" s="23" t="n">
        <x:v>4189.555</x:v>
      </x:c>
      <x:c r="O17" s="16" t="n">
        <x:f>IF(AND(N17&lt;&gt;"",N17&lt;=60),1,0)</x:f>
        <x:v>0</x:v>
      </x:c>
    </x:row>
    <x:row r="18">
      <x:c r="A18" s="11" t="str">
        <x:v>b65e560b-046e-4bbb-ad35-f0c7be7b1de5</x:v>
      </x:c>
      <x:c r="B18" s="12" t="str">
        <x:v>***</x:v>
      </x:c>
      <x:c r="C18" s="13" t="str">
        <x:v>UTC 2026-07-13T21:28:20.360Z</x:v>
      </x:c>
      <x:c r="D18" s="14" t="n">
        <x:v>1</x:v>
      </x:c>
      <x:c r="E18" s="12" t="str">
        <x:v>Investigation</x:v>
      </x:c>
      <x:c r="F18" s="12" t="str">
        <x:v>2026-07-13 16:28:20 CDT</x:v>
      </x:c>
      <x:c r="G18" s="12" t="str">
        <x:v>2026-07-13</x:v>
      </x:c>
      <x:c r="H18" s="15" t="n">
        <x:v>16</x:v>
      </x:c>
      <x:c r="I18" s="12" t="str">
        <x:v>Monday</x:v>
      </x:c>
      <x:c r="J18" s="12" t="str">
        <x:f>IF(D18=1,"1 network",IF(D18&lt;=135,"133–135 networks",IF(D18&lt;6000,"2,342–2,489 networks","6,248–6,295 networks")))</x:f>
        <x:v>1 network</x:v>
      </x:c>
      <x:c r="K18" s="12" t="n">
        <x:f>IF(OR(H18&lt;6,H18&gt;=22),1,0)</x:f>
        <x:v>0</x:v>
      </x:c>
      <x:c r="L18" s="12" t="n">
        <x:f>IF(COUNTIF($A$2:$A$186,A18)&gt;1,1,0)</x:f>
        <x:v>0</x:v>
      </x:c>
      <x:c r="M18" s="12" t="n">
        <x:f>IF(OR(I18="Saturday",I18="Sunday"),1,0)</x:f>
        <x:v>0</x:v>
      </x:c>
      <x:c r="N18" s="23" t="n">
        <x:v>2201.346</x:v>
      </x:c>
      <x:c r="O18" s="16" t="n">
        <x:f>IF(AND(N18&lt;&gt;"",N18&lt;=60),1,0)</x:f>
        <x:v>0</x:v>
      </x:c>
    </x:row>
    <x:row r="19">
      <x:c r="A19" s="11" t="str">
        <x:v>76d27e24-7b58-4817-b7a9-a50aa7575682</x:v>
      </x:c>
      <x:c r="B19" s="12" t="str">
        <x:v>***</x:v>
      </x:c>
      <x:c r="C19" s="13" t="str">
        <x:v>UTC 2026-07-14T12:37:38.315Z</x:v>
      </x:c>
      <x:c r="D19" s="14" t="n">
        <x:v>2486</x:v>
      </x:c>
      <x:c r="E19" s="12" t="str">
        <x:v>Investigation</x:v>
      </x:c>
      <x:c r="F19" s="12" t="str">
        <x:v>2026-07-14 07:37:38 CDT</x:v>
      </x:c>
      <x:c r="G19" s="12" t="str">
        <x:v>2026-07-14</x:v>
      </x:c>
      <x:c r="H19" s="15" t="n">
        <x:v>7</x:v>
      </x:c>
      <x:c r="I19" s="12" t="str">
        <x:v>Tuesday</x:v>
      </x:c>
      <x:c r="J19" s="12" t="str">
        <x:f>IF(D19=1,"1 network",IF(D19&lt;=135,"133–135 networks",IF(D19&lt;6000,"2,342–2,489 networks","6,248–6,295 networks")))</x:f>
        <x:v>2,342–2,489 networks</x:v>
      </x:c>
      <x:c r="K19" s="12" t="n">
        <x:f>IF(OR(H19&lt;6,H19&gt;=22),1,0)</x:f>
        <x:v>0</x:v>
      </x:c>
      <x:c r="L19" s="12" t="n">
        <x:f>IF(COUNTIF($A$2:$A$186,A19)&gt;1,1,0)</x:f>
        <x:v>0</x:v>
      </x:c>
      <x:c r="M19" s="12" t="n">
        <x:f>IF(OR(I19="Saturday",I19="Sunday"),1,0)</x:f>
        <x:v>0</x:v>
      </x:c>
      <x:c r="N19" s="23" t="n">
        <x:v>54557.955</x:v>
      </x:c>
      <x:c r="O19" s="16" t="n">
        <x:f>IF(AND(N19&lt;&gt;"",N19&lt;=60),1,0)</x:f>
        <x:v>0</x:v>
      </x:c>
    </x:row>
    <x:row r="20">
      <x:c r="A20" s="11" t="str">
        <x:v>3f238ba4-acc8-447f-b8ea-0e1044e8dc07</x:v>
      </x:c>
      <x:c r="B20" s="12" t="str">
        <x:v>***</x:v>
      </x:c>
      <x:c r="C20" s="13" t="str">
        <x:v>UTC 2026-07-14T13:05:32.697Z</x:v>
      </x:c>
      <x:c r="D20" s="14" t="n">
        <x:v>134</x:v>
      </x:c>
      <x:c r="E20" s="12" t="str">
        <x:v>Investigation</x:v>
      </x:c>
      <x:c r="F20" s="12" t="str">
        <x:v>2026-07-14 08:05:32 CDT</x:v>
      </x:c>
      <x:c r="G20" s="12" t="str">
        <x:v>2026-07-14</x:v>
      </x:c>
      <x:c r="H20" s="15" t="n">
        <x:v>8</x:v>
      </x:c>
      <x:c r="I20" s="12" t="str">
        <x:v>Tuesday</x:v>
      </x:c>
      <x:c r="J20" s="12" t="str">
        <x:f>IF(D20=1,"1 network",IF(D20&lt;=135,"133–135 networks",IF(D20&lt;6000,"2,342–2,489 networks","6,248–6,295 networks")))</x:f>
        <x:v>133–135 networks</x:v>
      </x:c>
      <x:c r="K20" s="12" t="n">
        <x:f>IF(OR(H20&lt;6,H20&gt;=22),1,0)</x:f>
        <x:v>0</x:v>
      </x:c>
      <x:c r="L20" s="12" t="n">
        <x:f>IF(COUNTIF($A$2:$A$186,A20)&gt;1,1,0)</x:f>
        <x:v>0</x:v>
      </x:c>
      <x:c r="M20" s="12" t="n">
        <x:f>IF(OR(I20="Saturday",I20="Sunday"),1,0)</x:f>
        <x:v>0</x:v>
      </x:c>
      <x:c r="N20" s="23" t="n">
        <x:v>1674.382</x:v>
      </x:c>
      <x:c r="O20" s="16" t="n">
        <x:f>IF(AND(N20&lt;&gt;"",N20&lt;=60),1,0)</x:f>
        <x:v>0</x:v>
      </x:c>
    </x:row>
    <x:row r="21">
      <x:c r="A21" s="11" t="str">
        <x:v>48d8d924-30db-4b9e-ab02-bff47acb10d1</x:v>
      </x:c>
      <x:c r="B21" s="12" t="str">
        <x:v>***</x:v>
      </x:c>
      <x:c r="C21" s="13" t="str">
        <x:v>UTC 2026-07-14T14:09:35.079Z</x:v>
      </x:c>
      <x:c r="D21" s="14" t="n">
        <x:v>2486</x:v>
      </x:c>
      <x:c r="E21" s="12" t="str">
        <x:v>Investigation</x:v>
      </x:c>
      <x:c r="F21" s="12" t="str">
        <x:v>2026-07-14 09:09:35 CDT</x:v>
      </x:c>
      <x:c r="G21" s="12" t="str">
        <x:v>2026-07-14</x:v>
      </x:c>
      <x:c r="H21" s="15" t="n">
        <x:v>9</x:v>
      </x:c>
      <x:c r="I21" s="12" t="str">
        <x:v>Tuesday</x:v>
      </x:c>
      <x:c r="J21" s="12" t="str">
        <x:f>IF(D21=1,"1 network",IF(D21&lt;=135,"133–135 networks",IF(D21&lt;6000,"2,342–2,489 networks","6,248–6,295 networks")))</x:f>
        <x:v>2,342–2,489 networks</x:v>
      </x:c>
      <x:c r="K21" s="12" t="n">
        <x:f>IF(OR(H21&lt;6,H21&gt;=22),1,0)</x:f>
        <x:v>0</x:v>
      </x:c>
      <x:c r="L21" s="12" t="n">
        <x:f>IF(COUNTIF($A$2:$A$186,A21)&gt;1,1,0)</x:f>
        <x:v>0</x:v>
      </x:c>
      <x:c r="M21" s="12" t="n">
        <x:f>IF(OR(I21="Saturday",I21="Sunday"),1,0)</x:f>
        <x:v>0</x:v>
      </x:c>
      <x:c r="N21" s="23" t="n">
        <x:v>3842.382</x:v>
      </x:c>
      <x:c r="O21" s="16" t="n">
        <x:f>IF(AND(N21&lt;&gt;"",N21&lt;=60),1,0)</x:f>
        <x:v>0</x:v>
      </x:c>
    </x:row>
    <x:row r="22">
      <x:c r="A22" s="11" t="str">
        <x:v>a33bd4a7-d182-41de-bd6a-f5dfdc57c07b</x:v>
      </x:c>
      <x:c r="B22" s="12" t="str">
        <x:v>***</x:v>
      </x:c>
      <x:c r="C22" s="13" t="str">
        <x:v>UTC 2026-07-14T16:41:53.265Z</x:v>
      </x:c>
      <x:c r="D22" s="14" t="n">
        <x:v>134</x:v>
      </x:c>
      <x:c r="E22" s="12" t="str">
        <x:v>Investigation</x:v>
      </x:c>
      <x:c r="F22" s="12" t="str">
        <x:v>2026-07-14 11:41:53 CDT</x:v>
      </x:c>
      <x:c r="G22" s="12" t="str">
        <x:v>2026-07-14</x:v>
      </x:c>
      <x:c r="H22" s="15" t="n">
        <x:v>11</x:v>
      </x:c>
      <x:c r="I22" s="12" t="str">
        <x:v>Tuesday</x:v>
      </x:c>
      <x:c r="J22" s="12" t="str">
        <x:f>IF(D22=1,"1 network",IF(D22&lt;=135,"133–135 networks",IF(D22&lt;6000,"2,342–2,489 networks","6,248–6,295 networks")))</x:f>
        <x:v>133–135 networks</x:v>
      </x:c>
      <x:c r="K22" s="12" t="n">
        <x:f>IF(OR(H22&lt;6,H22&gt;=22),1,0)</x:f>
        <x:v>0</x:v>
      </x:c>
      <x:c r="L22" s="12" t="n">
        <x:f>IF(COUNTIF($A$2:$A$186,A22)&gt;1,1,0)</x:f>
        <x:v>0</x:v>
      </x:c>
      <x:c r="M22" s="12" t="n">
        <x:f>IF(OR(I22="Saturday",I22="Sunday"),1,0)</x:f>
        <x:v>0</x:v>
      </x:c>
      <x:c r="N22" s="23" t="n">
        <x:v>9138.186</x:v>
      </x:c>
      <x:c r="O22" s="16" t="n">
        <x:f>IF(AND(N22&lt;&gt;"",N22&lt;=60),1,0)</x:f>
        <x:v>0</x:v>
      </x:c>
    </x:row>
    <x:row r="23">
      <x:c r="A23" s="11" t="str">
        <x:v>4d6e24d8-53c1-46bd-8402-0c37aa631aeb</x:v>
      </x:c>
      <x:c r="B23" s="12" t="str">
        <x:v>***</x:v>
      </x:c>
      <x:c r="C23" s="13" t="str">
        <x:v>UTC 2026-07-14T17:40:15.099Z</x:v>
      </x:c>
      <x:c r="D23" s="14" t="n">
        <x:v>1</x:v>
      </x:c>
      <x:c r="E23" s="12" t="str">
        <x:v>Investigation</x:v>
      </x:c>
      <x:c r="F23" s="12" t="str">
        <x:v>2026-07-14 12:40:15 CDT</x:v>
      </x:c>
      <x:c r="G23" s="12" t="str">
        <x:v>2026-07-14</x:v>
      </x:c>
      <x:c r="H23" s="15" t="n">
        <x:v>12</x:v>
      </x:c>
      <x:c r="I23" s="12" t="str">
        <x:v>Tuesday</x:v>
      </x:c>
      <x:c r="J23" s="12" t="str">
        <x:f>IF(D23=1,"1 network",IF(D23&lt;=135,"133–135 networks",IF(D23&lt;6000,"2,342–2,489 networks","6,248–6,295 networks")))</x:f>
        <x:v>1 network</x:v>
      </x:c>
      <x:c r="K23" s="12" t="n">
        <x:f>IF(OR(H23&lt;6,H23&gt;=22),1,0)</x:f>
        <x:v>0</x:v>
      </x:c>
      <x:c r="L23" s="12" t="n">
        <x:f>IF(COUNTIF($A$2:$A$186,A23)&gt;1,1,0)</x:f>
        <x:v>0</x:v>
      </x:c>
      <x:c r="M23" s="12" t="n">
        <x:f>IF(OR(I23="Saturday",I23="Sunday"),1,0)</x:f>
        <x:v>0</x:v>
      </x:c>
      <x:c r="N23" s="23" t="n">
        <x:v>3501.834</x:v>
      </x:c>
      <x:c r="O23" s="16" t="n">
        <x:f>IF(AND(N23&lt;&gt;"",N23&lt;=60),1,0)</x:f>
        <x:v>0</x:v>
      </x:c>
    </x:row>
    <x:row r="24">
      <x:c r="A24" s="11" t="str">
        <x:v>90397596-4318-4325-8f8f-87d1c9ed7230</x:v>
      </x:c>
      <x:c r="B24" s="12" t="str">
        <x:v>***</x:v>
      </x:c>
      <x:c r="C24" s="13" t="str">
        <x:v>UTC 2026-07-14T18:15:53.443Z</x:v>
      </x:c>
      <x:c r="D24" s="14" t="n">
        <x:v>2402</x:v>
      </x:c>
      <x:c r="E24" s="12" t="str">
        <x:v>Investigation</x:v>
      </x:c>
      <x:c r="F24" s="12" t="str">
        <x:v>2026-07-14 13:15:53 CDT</x:v>
      </x:c>
      <x:c r="G24" s="12" t="str">
        <x:v>2026-07-14</x:v>
      </x:c>
      <x:c r="H24" s="15" t="n">
        <x:v>13</x:v>
      </x:c>
      <x:c r="I24" s="12" t="str">
        <x:v>Tuesday</x:v>
      </x:c>
      <x:c r="J24" s="12" t="str">
        <x:f>IF(D24=1,"1 network",IF(D24&lt;=135,"133–135 networks",IF(D24&lt;6000,"2,342–2,489 networks","6,248–6,295 networks")))</x:f>
        <x:v>2,342–2,489 networks</x:v>
      </x:c>
      <x:c r="K24" s="12" t="n">
        <x:f>IF(OR(H24&lt;6,H24&gt;=22),1,0)</x:f>
        <x:v>0</x:v>
      </x:c>
      <x:c r="L24" s="12" t="n">
        <x:f>IF(COUNTIF($A$2:$A$186,A24)&gt;1,1,0)</x:f>
        <x:v>0</x:v>
      </x:c>
      <x:c r="M24" s="12" t="n">
        <x:f>IF(OR(I24="Saturday",I24="Sunday"),1,0)</x:f>
        <x:v>0</x:v>
      </x:c>
      <x:c r="N24" s="23" t="n">
        <x:v>2138.344</x:v>
      </x:c>
      <x:c r="O24" s="16" t="n">
        <x:f>IF(AND(N24&lt;&gt;"",N24&lt;=60),1,0)</x:f>
        <x:v>0</x:v>
      </x:c>
    </x:row>
    <x:row r="25">
      <x:c r="A25" s="11" t="str">
        <x:v>7db7241d-3a98-4bd2-a6da-4c8abeb25b8e</x:v>
      </x:c>
      <x:c r="B25" s="12" t="str">
        <x:v>***</x:v>
      </x:c>
      <x:c r="C25" s="13" t="str">
        <x:v>UTC 2026-07-14T18:24:15.575Z</x:v>
      </x:c>
      <x:c r="D25" s="14" t="n">
        <x:v>2484</x:v>
      </x:c>
      <x:c r="E25" s="12" t="str">
        <x:v>Investigation</x:v>
      </x:c>
      <x:c r="F25" s="12" t="str">
        <x:v>2026-07-14 13:24:15 CDT</x:v>
      </x:c>
      <x:c r="G25" s="12" t="str">
        <x:v>2026-07-14</x:v>
      </x:c>
      <x:c r="H25" s="15" t="n">
        <x:v>13</x:v>
      </x:c>
      <x:c r="I25" s="12" t="str">
        <x:v>Tuesday</x:v>
      </x:c>
      <x:c r="J25" s="12" t="str">
        <x:f>IF(D25=1,"1 network",IF(D25&lt;=135,"133–135 networks",IF(D25&lt;6000,"2,342–2,489 networks","6,248–6,295 networks")))</x:f>
        <x:v>2,342–2,489 networks</x:v>
      </x:c>
      <x:c r="K25" s="12" t="n">
        <x:f>IF(OR(H25&lt;6,H25&gt;=22),1,0)</x:f>
        <x:v>0</x:v>
      </x:c>
      <x:c r="L25" s="12" t="n">
        <x:f>IF(COUNTIF($A$2:$A$186,A25)&gt;1,1,0)</x:f>
        <x:v>0</x:v>
      </x:c>
      <x:c r="M25" s="12" t="n">
        <x:f>IF(OR(I25="Saturday",I25="Sunday"),1,0)</x:f>
        <x:v>0</x:v>
      </x:c>
      <x:c r="N25" s="23" t="n">
        <x:v>502.132</x:v>
      </x:c>
      <x:c r="O25" s="16" t="n">
        <x:f>IF(AND(N25&lt;&gt;"",N25&lt;=60),1,0)</x:f>
        <x:v>0</x:v>
      </x:c>
    </x:row>
    <x:row r="26">
      <x:c r="A26" s="11" t="str">
        <x:v>c1bcc7fe-5906-4753-8742-1da9b4e95783</x:v>
      </x:c>
      <x:c r="B26" s="12" t="str">
        <x:v>***</x:v>
      </x:c>
      <x:c r="C26" s="13" t="str">
        <x:v>UTC 2026-07-14T18:34:40.616Z</x:v>
      </x:c>
      <x:c r="D26" s="14" t="n">
        <x:v>1</x:v>
      </x:c>
      <x:c r="E26" s="12" t="str">
        <x:v>Investigation</x:v>
      </x:c>
      <x:c r="F26" s="12" t="str">
        <x:v>2026-07-14 13:34:40 CDT</x:v>
      </x:c>
      <x:c r="G26" s="12" t="str">
        <x:v>2026-07-14</x:v>
      </x:c>
      <x:c r="H26" s="15" t="n">
        <x:v>13</x:v>
      </x:c>
      <x:c r="I26" s="12" t="str">
        <x:v>Tuesday</x:v>
      </x:c>
      <x:c r="J26" s="12" t="str">
        <x:f>IF(D26=1,"1 network",IF(D26&lt;=135,"133–135 networks",IF(D26&lt;6000,"2,342–2,489 networks","6,248–6,295 networks")))</x:f>
        <x:v>1 network</x:v>
      </x:c>
      <x:c r="K26" s="12" t="n">
        <x:f>IF(OR(H26&lt;6,H26&gt;=22),1,0)</x:f>
        <x:v>0</x:v>
      </x:c>
      <x:c r="L26" s="12" t="n">
        <x:f>IF(COUNTIF($A$2:$A$186,A26)&gt;1,1,0)</x:f>
        <x:v>0</x:v>
      </x:c>
      <x:c r="M26" s="12" t="n">
        <x:f>IF(OR(I26="Saturday",I26="Sunday"),1,0)</x:f>
        <x:v>0</x:v>
      </x:c>
      <x:c r="N26" s="23" t="n">
        <x:v>625.041</x:v>
      </x:c>
      <x:c r="O26" s="16" t="n">
        <x:f>IF(AND(N26&lt;&gt;"",N26&lt;=60),1,0)</x:f>
        <x:v>0</x:v>
      </x:c>
    </x:row>
    <x:row r="27">
      <x:c r="A27" s="11" t="str">
        <x:v>11f4202b-fb2b-411b-b453-3405e156ffff</x:v>
      </x:c>
      <x:c r="B27" s="12" t="str">
        <x:v>***</x:v>
      </x:c>
      <x:c r="C27" s="13" t="str">
        <x:v>UTC 2026-07-14T19:07:51.954Z</x:v>
      </x:c>
      <x:c r="D27" s="14" t="n">
        <x:v>1</x:v>
      </x:c>
      <x:c r="E27" s="12" t="str">
        <x:v>Investigation</x:v>
      </x:c>
      <x:c r="F27" s="12" t="str">
        <x:v>2026-07-14 14:07:51 CDT</x:v>
      </x:c>
      <x:c r="G27" s="12" t="str">
        <x:v>2026-07-14</x:v>
      </x:c>
      <x:c r="H27" s="15" t="n">
        <x:v>14</x:v>
      </x:c>
      <x:c r="I27" s="12" t="str">
        <x:v>Tuesday</x:v>
      </x:c>
      <x:c r="J27" s="12" t="str">
        <x:f>IF(D27=1,"1 network",IF(D27&lt;=135,"133–135 networks",IF(D27&lt;6000,"2,342–2,489 networks","6,248–6,295 networks")))</x:f>
        <x:v>1 network</x:v>
      </x:c>
      <x:c r="K27" s="12" t="n">
        <x:f>IF(OR(H27&lt;6,H27&gt;=22),1,0)</x:f>
        <x:v>0</x:v>
      </x:c>
      <x:c r="L27" s="12" t="n">
        <x:f>IF(COUNTIF($A$2:$A$186,A27)&gt;1,1,0)</x:f>
        <x:v>0</x:v>
      </x:c>
      <x:c r="M27" s="12" t="n">
        <x:f>IF(OR(I27="Saturday",I27="Sunday"),1,0)</x:f>
        <x:v>0</x:v>
      </x:c>
      <x:c r="N27" s="23" t="n">
        <x:v>1991.338</x:v>
      </x:c>
      <x:c r="O27" s="16" t="n">
        <x:f>IF(AND(N27&lt;&gt;"",N27&lt;=60),1,0)</x:f>
        <x:v>0</x:v>
      </x:c>
    </x:row>
    <x:row r="28">
      <x:c r="A28" s="11" t="str">
        <x:v>eb7f036d-6b2f-4ac7-9e1a-c6f2ab578a49</x:v>
      </x:c>
      <x:c r="B28" s="12" t="str">
        <x:v>***</x:v>
      </x:c>
      <x:c r="C28" s="13" t="str">
        <x:v>UTC 2026-07-14T19:26:27.812Z</x:v>
      </x:c>
      <x:c r="D28" s="14" t="n">
        <x:v>1</x:v>
      </x:c>
      <x:c r="E28" s="12" t="str">
        <x:v>Investigation</x:v>
      </x:c>
      <x:c r="F28" s="12" t="str">
        <x:v>2026-07-14 14:26:27 CDT</x:v>
      </x:c>
      <x:c r="G28" s="12" t="str">
        <x:v>2026-07-14</x:v>
      </x:c>
      <x:c r="H28" s="15" t="n">
        <x:v>14</x:v>
      </x:c>
      <x:c r="I28" s="12" t="str">
        <x:v>Tuesday</x:v>
      </x:c>
      <x:c r="J28" s="12" t="str">
        <x:f>IF(D28=1,"1 network",IF(D28&lt;=135,"133–135 networks",IF(D28&lt;6000,"2,342–2,489 networks","6,248–6,295 networks")))</x:f>
        <x:v>1 network</x:v>
      </x:c>
      <x:c r="K28" s="12" t="n">
        <x:f>IF(OR(H28&lt;6,H28&gt;=22),1,0)</x:f>
        <x:v>0</x:v>
      </x:c>
      <x:c r="L28" s="12" t="n">
        <x:f>IF(COUNTIF($A$2:$A$186,A28)&gt;1,1,0)</x:f>
        <x:v>0</x:v>
      </x:c>
      <x:c r="M28" s="12" t="n">
        <x:f>IF(OR(I28="Saturday",I28="Sunday"),1,0)</x:f>
        <x:v>0</x:v>
      </x:c>
      <x:c r="N28" s="23" t="n">
        <x:v>1115.858</x:v>
      </x:c>
      <x:c r="O28" s="16" t="n">
        <x:f>IF(AND(N28&lt;&gt;"",N28&lt;=60),1,0)</x:f>
        <x:v>0</x:v>
      </x:c>
    </x:row>
    <x:row r="29">
      <x:c r="A29" s="11" t="str">
        <x:v>c88c3e97-6e44-45f0-b0aa-c4d36ca7887f</x:v>
      </x:c>
      <x:c r="B29" s="12" t="str">
        <x:v>***</x:v>
      </x:c>
      <x:c r="C29" s="13" t="str">
        <x:v>UTC 2026-07-14T19:27:14.484Z</x:v>
      </x:c>
      <x:c r="D29" s="14" t="n">
        <x:v>134</x:v>
      </x:c>
      <x:c r="E29" s="12" t="str">
        <x:v>Investigation</x:v>
      </x:c>
      <x:c r="F29" s="12" t="str">
        <x:v>2026-07-14 14:27:14 CDT</x:v>
      </x:c>
      <x:c r="G29" s="12" t="str">
        <x:v>2026-07-14</x:v>
      </x:c>
      <x:c r="H29" s="15" t="n">
        <x:v>14</x:v>
      </x:c>
      <x:c r="I29" s="12" t="str">
        <x:v>Tuesday</x:v>
      </x:c>
      <x:c r="J29" s="12" t="str">
        <x:f>IF(D29=1,"1 network",IF(D29&lt;=135,"133–135 networks",IF(D29&lt;6000,"2,342–2,489 networks","6,248–6,295 networks")))</x:f>
        <x:v>133–135 networks</x:v>
      </x:c>
      <x:c r="K29" s="12" t="n">
        <x:f>IF(OR(H29&lt;6,H29&gt;=22),1,0)</x:f>
        <x:v>0</x:v>
      </x:c>
      <x:c r="L29" s="12" t="n">
        <x:f>IF(COUNTIF($A$2:$A$186,A29)&gt;1,1,0)</x:f>
        <x:v>0</x:v>
      </x:c>
      <x:c r="M29" s="12" t="n">
        <x:f>IF(OR(I29="Saturday",I29="Sunday"),1,0)</x:f>
        <x:v>0</x:v>
      </x:c>
      <x:c r="N29" s="23" t="n">
        <x:v>46.672</x:v>
      </x:c>
      <x:c r="O29" s="16" t="n">
        <x:f>IF(AND(N29&lt;&gt;"",N29&lt;=60),1,0)</x:f>
        <x:v>1</x:v>
      </x:c>
    </x:row>
    <x:row r="30">
      <x:c r="A30" s="11" t="str">
        <x:v>3719381b-4822-469e-9856-d9b358bd99cb</x:v>
      </x:c>
      <x:c r="B30" s="12" t="str">
        <x:v>***</x:v>
      </x:c>
      <x:c r="C30" s="13" t="str">
        <x:v>UTC 2026-07-14T19:27:37.740Z</x:v>
      </x:c>
      <x:c r="D30" s="14" t="n">
        <x:v>2484</x:v>
      </x:c>
      <x:c r="E30" s="12" t="str">
        <x:v>Investigation</x:v>
      </x:c>
      <x:c r="F30" s="12" t="str">
        <x:v>2026-07-14 14:27:37 CDT</x:v>
      </x:c>
      <x:c r="G30" s="12" t="str">
        <x:v>2026-07-14</x:v>
      </x:c>
      <x:c r="H30" s="15" t="n">
        <x:v>14</x:v>
      </x:c>
      <x:c r="I30" s="12" t="str">
        <x:v>Tuesday</x:v>
      </x:c>
      <x:c r="J30" s="12" t="str">
        <x:f>IF(D30=1,"1 network",IF(D30&lt;=135,"133–135 networks",IF(D30&lt;6000,"2,342–2,489 networks","6,248–6,295 networks")))</x:f>
        <x:v>2,342–2,489 networks</x:v>
      </x:c>
      <x:c r="K30" s="12" t="n">
        <x:f>IF(OR(H30&lt;6,H30&gt;=22),1,0)</x:f>
        <x:v>0</x:v>
      </x:c>
      <x:c r="L30" s="12" t="n">
        <x:f>IF(COUNTIF($A$2:$A$186,A30)&gt;1,1,0)</x:f>
        <x:v>0</x:v>
      </x:c>
      <x:c r="M30" s="12" t="n">
        <x:f>IF(OR(I30="Saturday",I30="Sunday"),1,0)</x:f>
        <x:v>0</x:v>
      </x:c>
      <x:c r="N30" s="23" t="n">
        <x:v>23.256</x:v>
      </x:c>
      <x:c r="O30" s="16" t="n">
        <x:f>IF(AND(N30&lt;&gt;"",N30&lt;=60),1,0)</x:f>
        <x:v>1</x:v>
      </x:c>
    </x:row>
    <x:row r="31">
      <x:c r="A31" s="11" t="str">
        <x:v>169dba43-edfa-4365-b517-69bbb05404c5</x:v>
      </x:c>
      <x:c r="B31" s="12" t="str">
        <x:v>***</x:v>
      </x:c>
      <x:c r="C31" s="13" t="str">
        <x:v>UTC 2026-07-14T20:09:01.691Z</x:v>
      </x:c>
      <x:c r="D31" s="14" t="n">
        <x:v>6290</x:v>
      </x:c>
      <x:c r="E31" s="12" t="str">
        <x:v>Investigation</x:v>
      </x:c>
      <x:c r="F31" s="12" t="str">
        <x:v>2026-07-14 15:09:01 CDT</x:v>
      </x:c>
      <x:c r="G31" s="12" t="str">
        <x:v>2026-07-14</x:v>
      </x:c>
      <x:c r="H31" s="15" t="n">
        <x:v>15</x:v>
      </x:c>
      <x:c r="I31" s="12" t="str">
        <x:v>Tuesday</x:v>
      </x:c>
      <x:c r="J31" s="12" t="str">
        <x:f>IF(D31=1,"1 network",IF(D31&lt;=135,"133–135 networks",IF(D31&lt;6000,"2,342–2,489 networks","6,248–6,295 networks")))</x:f>
        <x:v>6,248–6,295 networks</x:v>
      </x:c>
      <x:c r="K31" s="12" t="n">
        <x:f>IF(OR(H31&lt;6,H31&gt;=22),1,0)</x:f>
        <x:v>0</x:v>
      </x:c>
      <x:c r="L31" s="12" t="n">
        <x:f>IF(COUNTIF($A$2:$A$186,A31)&gt;1,1,0)</x:f>
        <x:v>0</x:v>
      </x:c>
      <x:c r="M31" s="12" t="n">
        <x:f>IF(OR(I31="Saturday",I31="Sunday"),1,0)</x:f>
        <x:v>0</x:v>
      </x:c>
      <x:c r="N31" s="23" t="n">
        <x:v>2483.951</x:v>
      </x:c>
      <x:c r="O31" s="16" t="n">
        <x:f>IF(AND(N31&lt;&gt;"",N31&lt;=60),1,0)</x:f>
        <x:v>0</x:v>
      </x:c>
    </x:row>
    <x:row r="32">
      <x:c r="A32" s="11" t="str">
        <x:v>628395d7-476c-417e-9093-bb93b7002d9e</x:v>
      </x:c>
      <x:c r="B32" s="12" t="str">
        <x:v>***</x:v>
      </x:c>
      <x:c r="C32" s="13" t="str">
        <x:v>UTC 2026-07-14T20:22:57.117Z</x:v>
      </x:c>
      <x:c r="D32" s="14" t="n">
        <x:v>2484</x:v>
      </x:c>
      <x:c r="E32" s="12" t="str">
        <x:v>Investigation</x:v>
      </x:c>
      <x:c r="F32" s="12" t="str">
        <x:v>2026-07-14 15:22:57 CDT</x:v>
      </x:c>
      <x:c r="G32" s="12" t="str">
        <x:v>2026-07-14</x:v>
      </x:c>
      <x:c r="H32" s="15" t="n">
        <x:v>15</x:v>
      </x:c>
      <x:c r="I32" s="12" t="str">
        <x:v>Tuesday</x:v>
      </x:c>
      <x:c r="J32" s="12" t="str">
        <x:f>IF(D32=1,"1 network",IF(D32&lt;=135,"133–135 networks",IF(D32&lt;6000,"2,342–2,489 networks","6,248–6,295 networks")))</x:f>
        <x:v>2,342–2,489 networks</x:v>
      </x:c>
      <x:c r="K32" s="12" t="n">
        <x:f>IF(OR(H32&lt;6,H32&gt;=22),1,0)</x:f>
        <x:v>0</x:v>
      </x:c>
      <x:c r="L32" s="12" t="n">
        <x:f>IF(COUNTIF($A$2:$A$186,A32)&gt;1,1,0)</x:f>
        <x:v>0</x:v>
      </x:c>
      <x:c r="M32" s="12" t="n">
        <x:f>IF(OR(I32="Saturday",I32="Sunday"),1,0)</x:f>
        <x:v>0</x:v>
      </x:c>
      <x:c r="N32" s="23" t="n">
        <x:v>835.426</x:v>
      </x:c>
      <x:c r="O32" s="16" t="n">
        <x:f>IF(AND(N32&lt;&gt;"",N32&lt;=60),1,0)</x:f>
        <x:v>0</x:v>
      </x:c>
    </x:row>
    <x:row r="33">
      <x:c r="A33" s="11" t="str">
        <x:v>9ac75f1e-755a-4697-9eac-f57a496f3c3b</x:v>
      </x:c>
      <x:c r="B33" s="12" t="str">
        <x:v>***</x:v>
      </x:c>
      <x:c r="C33" s="13" t="str">
        <x:v>UTC 2026-07-14T20:28:30.868Z</x:v>
      </x:c>
      <x:c r="D33" s="14" t="n">
        <x:v>6290</x:v>
      </x:c>
      <x:c r="E33" s="12" t="str">
        <x:v>Investigation</x:v>
      </x:c>
      <x:c r="F33" s="12" t="str">
        <x:v>2026-07-14 15:28:30 CDT</x:v>
      </x:c>
      <x:c r="G33" s="12" t="str">
        <x:v>2026-07-14</x:v>
      </x:c>
      <x:c r="H33" s="15" t="n">
        <x:v>15</x:v>
      </x:c>
      <x:c r="I33" s="12" t="str">
        <x:v>Tuesday</x:v>
      </x:c>
      <x:c r="J33" s="12" t="str">
        <x:f>IF(D33=1,"1 network",IF(D33&lt;=135,"133–135 networks",IF(D33&lt;6000,"2,342–2,489 networks","6,248–6,295 networks")))</x:f>
        <x:v>6,248–6,295 networks</x:v>
      </x:c>
      <x:c r="K33" s="12" t="n">
        <x:f>IF(OR(H33&lt;6,H33&gt;=22),1,0)</x:f>
        <x:v>0</x:v>
      </x:c>
      <x:c r="L33" s="12" t="n">
        <x:f>IF(COUNTIF($A$2:$A$186,A33)&gt;1,1,0)</x:f>
        <x:v>0</x:v>
      </x:c>
      <x:c r="M33" s="12" t="n">
        <x:f>IF(OR(I33="Saturday",I33="Sunday"),1,0)</x:f>
        <x:v>0</x:v>
      </x:c>
      <x:c r="N33" s="23" t="n">
        <x:v>333.751</x:v>
      </x:c>
      <x:c r="O33" s="16" t="n">
        <x:f>IF(AND(N33&lt;&gt;"",N33&lt;=60),1,0)</x:f>
        <x:v>0</x:v>
      </x:c>
    </x:row>
    <x:row r="34">
      <x:c r="A34" s="11" t="str">
        <x:v>42c10b9d-c035-4bb6-8f1c-c1652dfb11c1</x:v>
      </x:c>
      <x:c r="B34" s="12" t="str">
        <x:v>***</x:v>
      </x:c>
      <x:c r="C34" s="13" t="str">
        <x:v>UTC 2026-07-14T21:29:45.062Z</x:v>
      </x:c>
      <x:c r="D34" s="14" t="n">
        <x:v>6289</x:v>
      </x:c>
      <x:c r="E34" s="12" t="str">
        <x:v>Investigation</x:v>
      </x:c>
      <x:c r="F34" s="12" t="str">
        <x:v>2026-07-14 16:29:45 CDT</x:v>
      </x:c>
      <x:c r="G34" s="12" t="str">
        <x:v>2026-07-14</x:v>
      </x:c>
      <x:c r="H34" s="15" t="n">
        <x:v>16</x:v>
      </x:c>
      <x:c r="I34" s="12" t="str">
        <x:v>Tuesday</x:v>
      </x:c>
      <x:c r="J34" s="12" t="str">
        <x:f>IF(D34=1,"1 network",IF(D34&lt;=135,"133–135 networks",IF(D34&lt;6000,"2,342–2,489 networks","6,248–6,295 networks")))</x:f>
        <x:v>6,248–6,295 networks</x:v>
      </x:c>
      <x:c r="K34" s="12" t="n">
        <x:f>IF(OR(H34&lt;6,H34&gt;=22),1,0)</x:f>
        <x:v>0</x:v>
      </x:c>
      <x:c r="L34" s="12" t="n">
        <x:f>IF(COUNTIF($A$2:$A$186,A34)&gt;1,1,0)</x:f>
        <x:v>0</x:v>
      </x:c>
      <x:c r="M34" s="12" t="n">
        <x:f>IF(OR(I34="Saturday",I34="Sunday"),1,0)</x:f>
        <x:v>0</x:v>
      </x:c>
      <x:c r="N34" s="23" t="n">
        <x:v>3674.194</x:v>
      </x:c>
      <x:c r="O34" s="16" t="n">
        <x:f>IF(AND(N34&lt;&gt;"",N34&lt;=60),1,0)</x:f>
        <x:v>0</x:v>
      </x:c>
    </x:row>
    <x:row r="35">
      <x:c r="A35" s="11" t="str">
        <x:v>e139051f-61ee-4277-9597-2de9ad588c80</x:v>
      </x:c>
      <x:c r="B35" s="12" t="str">
        <x:v>***</x:v>
      </x:c>
      <x:c r="C35" s="13" t="str">
        <x:v>UTC 2026-07-14T22:33:01.360Z</x:v>
      </x:c>
      <x:c r="D35" s="14" t="n">
        <x:v>2484</x:v>
      </x:c>
      <x:c r="E35" s="12" t="str">
        <x:v>Investigation</x:v>
      </x:c>
      <x:c r="F35" s="12" t="str">
        <x:v>2026-07-14 17:33:01 CDT</x:v>
      </x:c>
      <x:c r="G35" s="12" t="str">
        <x:v>2026-07-14</x:v>
      </x:c>
      <x:c r="H35" s="15" t="n">
        <x:v>17</x:v>
      </x:c>
      <x:c r="I35" s="12" t="str">
        <x:v>Tuesday</x:v>
      </x:c>
      <x:c r="J35" s="12" t="str">
        <x:f>IF(D35=1,"1 network",IF(D35&lt;=135,"133–135 networks",IF(D35&lt;6000,"2,342–2,489 networks","6,248–6,295 networks")))</x:f>
        <x:v>2,342–2,489 networks</x:v>
      </x:c>
      <x:c r="K35" s="12" t="n">
        <x:f>IF(OR(H35&lt;6,H35&gt;=22),1,0)</x:f>
        <x:v>0</x:v>
      </x:c>
      <x:c r="L35" s="12" t="n">
        <x:f>IF(COUNTIF($A$2:$A$186,A35)&gt;1,1,0)</x:f>
        <x:v>0</x:v>
      </x:c>
      <x:c r="M35" s="12" t="n">
        <x:f>IF(OR(I35="Saturday",I35="Sunday"),1,0)</x:f>
        <x:v>0</x:v>
      </x:c>
      <x:c r="N35" s="23" t="n">
        <x:v>3796.298</x:v>
      </x:c>
      <x:c r="O35" s="16" t="n">
        <x:f>IF(AND(N35&lt;&gt;"",N35&lt;=60),1,0)</x:f>
        <x:v>0</x:v>
      </x:c>
    </x:row>
    <x:row r="36">
      <x:c r="A36" s="11" t="str">
        <x:v>88c1b7d9-6869-4f35-ad7a-c791deba0e54</x:v>
      </x:c>
      <x:c r="B36" s="12" t="str">
        <x:v>***</x:v>
      </x:c>
      <x:c r="C36" s="13" t="str">
        <x:v>UTC 2026-07-15T14:33:10.869Z</x:v>
      </x:c>
      <x:c r="D36" s="14" t="n">
        <x:v>1</x:v>
      </x:c>
      <x:c r="E36" s="12" t="str">
        <x:v>Investigation</x:v>
      </x:c>
      <x:c r="F36" s="12" t="str">
        <x:v>2026-07-15 09:33:10 CDT</x:v>
      </x:c>
      <x:c r="G36" s="12" t="str">
        <x:v>2026-07-15</x:v>
      </x:c>
      <x:c r="H36" s="15" t="n">
        <x:v>9</x:v>
      </x:c>
      <x:c r="I36" s="12" t="str">
        <x:v>Wednesday</x:v>
      </x:c>
      <x:c r="J36" s="12" t="str">
        <x:f>IF(D36=1,"1 network",IF(D36&lt;=135,"133–135 networks",IF(D36&lt;6000,"2,342–2,489 networks","6,248–6,295 networks")))</x:f>
        <x:v>1 network</x:v>
      </x:c>
      <x:c r="K36" s="12" t="n">
        <x:f>IF(OR(H36&lt;6,H36&gt;=22),1,0)</x:f>
        <x:v>0</x:v>
      </x:c>
      <x:c r="L36" s="12" t="n">
        <x:f>IF(COUNTIF($A$2:$A$186,A36)&gt;1,1,0)</x:f>
        <x:v>0</x:v>
      </x:c>
      <x:c r="M36" s="12" t="n">
        <x:f>IF(OR(I36="Saturday",I36="Sunday"),1,0)</x:f>
        <x:v>0</x:v>
      </x:c>
      <x:c r="N36" s="23" t="n">
        <x:v>57609.509</x:v>
      </x:c>
      <x:c r="O36" s="16" t="n">
        <x:f>IF(AND(N36&lt;&gt;"",N36&lt;=60),1,0)</x:f>
        <x:v>0</x:v>
      </x:c>
    </x:row>
    <x:row r="37">
      <x:c r="A37" s="11" t="str">
        <x:v>2a9fef49-b3fa-41b9-abfb-316d55b42301</x:v>
      </x:c>
      <x:c r="B37" s="12" t="str">
        <x:v>***</x:v>
      </x:c>
      <x:c r="C37" s="13" t="str">
        <x:v>UTC 2026-07-15T16:04:39.303Z</x:v>
      </x:c>
      <x:c r="D37" s="14" t="n">
        <x:v>6288</x:v>
      </x:c>
      <x:c r="E37" s="12" t="str">
        <x:v>Investigation</x:v>
      </x:c>
      <x:c r="F37" s="12" t="str">
        <x:v>2026-07-15 11:04:39 CDT</x:v>
      </x:c>
      <x:c r="G37" s="12" t="str">
        <x:v>2026-07-15</x:v>
      </x:c>
      <x:c r="H37" s="15" t="n">
        <x:v>11</x:v>
      </x:c>
      <x:c r="I37" s="12" t="str">
        <x:v>Wednesday</x:v>
      </x:c>
      <x:c r="J37" s="12" t="str">
        <x:f>IF(D37=1,"1 network",IF(D37&lt;=135,"133–135 networks",IF(D37&lt;6000,"2,342–2,489 networks","6,248–6,295 networks")))</x:f>
        <x:v>6,248–6,295 networks</x:v>
      </x:c>
      <x:c r="K37" s="12" t="n">
        <x:f>IF(OR(H37&lt;6,H37&gt;=22),1,0)</x:f>
        <x:v>0</x:v>
      </x:c>
      <x:c r="L37" s="12" t="n">
        <x:f>IF(COUNTIF($A$2:$A$186,A37)&gt;1,1,0)</x:f>
        <x:v>0</x:v>
      </x:c>
      <x:c r="M37" s="12" t="n">
        <x:f>IF(OR(I37="Saturday",I37="Sunday"),1,0)</x:f>
        <x:v>0</x:v>
      </x:c>
      <x:c r="N37" s="23" t="n">
        <x:v>5488.434</x:v>
      </x:c>
      <x:c r="O37" s="16" t="n">
        <x:f>IF(AND(N37&lt;&gt;"",N37&lt;=60),1,0)</x:f>
        <x:v>0</x:v>
      </x:c>
    </x:row>
    <x:row r="38">
      <x:c r="A38" s="11" t="str">
        <x:v>02d3f4e8-0547-4c82-9b2e-836a077db84b</x:v>
      </x:c>
      <x:c r="B38" s="12" t="str">
        <x:v>***</x:v>
      </x:c>
      <x:c r="C38" s="13" t="str">
        <x:v>UTC 2026-07-15T17:42:10.781Z</x:v>
      </x:c>
      <x:c r="D38" s="14" t="n">
        <x:v>2483</x:v>
      </x:c>
      <x:c r="E38" s="12" t="str">
        <x:v>Investigation</x:v>
      </x:c>
      <x:c r="F38" s="12" t="str">
        <x:v>2026-07-15 12:42:10 CDT</x:v>
      </x:c>
      <x:c r="G38" s="12" t="str">
        <x:v>2026-07-15</x:v>
      </x:c>
      <x:c r="H38" s="15" t="n">
        <x:v>12</x:v>
      </x:c>
      <x:c r="I38" s="12" t="str">
        <x:v>Wednesday</x:v>
      </x:c>
      <x:c r="J38" s="12" t="str">
        <x:f>IF(D38=1,"1 network",IF(D38&lt;=135,"133–135 networks",IF(D38&lt;6000,"2,342–2,489 networks","6,248–6,295 networks")))</x:f>
        <x:v>2,342–2,489 networks</x:v>
      </x:c>
      <x:c r="K38" s="12" t="n">
        <x:f>IF(OR(H38&lt;6,H38&gt;=22),1,0)</x:f>
        <x:v>0</x:v>
      </x:c>
      <x:c r="L38" s="12" t="n">
        <x:f>IF(COUNTIF($A$2:$A$186,A38)&gt;1,1,0)</x:f>
        <x:v>0</x:v>
      </x:c>
      <x:c r="M38" s="12" t="n">
        <x:f>IF(OR(I38="Saturday",I38="Sunday"),1,0)</x:f>
        <x:v>0</x:v>
      </x:c>
      <x:c r="N38" s="23" t="n">
        <x:v>5851.478</x:v>
      </x:c>
      <x:c r="O38" s="16" t="n">
        <x:f>IF(AND(N38&lt;&gt;"",N38&lt;=60),1,0)</x:f>
        <x:v>0</x:v>
      </x:c>
    </x:row>
    <x:row r="39">
      <x:c r="A39" s="11" t="str">
        <x:v>5dbc66e0-682b-4853-a948-9d44e1b69769</x:v>
      </x:c>
      <x:c r="B39" s="12" t="str">
        <x:v>***</x:v>
      </x:c>
      <x:c r="C39" s="13" t="str">
        <x:v>UTC 2026-07-15T22:02:50.916Z</x:v>
      </x:c>
      <x:c r="D39" s="14" t="n">
        <x:v>134</x:v>
      </x:c>
      <x:c r="E39" s="12" t="str">
        <x:v>Investigation</x:v>
      </x:c>
      <x:c r="F39" s="12" t="str">
        <x:v>2026-07-15 17:02:50 CDT</x:v>
      </x:c>
      <x:c r="G39" s="12" t="str">
        <x:v>2026-07-15</x:v>
      </x:c>
      <x:c r="H39" s="15" t="n">
        <x:v>17</x:v>
      </x:c>
      <x:c r="I39" s="12" t="str">
        <x:v>Wednesday</x:v>
      </x:c>
      <x:c r="J39" s="12" t="str">
        <x:f>IF(D39=1,"1 network",IF(D39&lt;=135,"133–135 networks",IF(D39&lt;6000,"2,342–2,489 networks","6,248–6,295 networks")))</x:f>
        <x:v>133–135 networks</x:v>
      </x:c>
      <x:c r="K39" s="12" t="n">
        <x:f>IF(OR(H39&lt;6,H39&gt;=22),1,0)</x:f>
        <x:v>0</x:v>
      </x:c>
      <x:c r="L39" s="12" t="n">
        <x:f>IF(COUNTIF($A$2:$A$186,A39)&gt;1,1,0)</x:f>
        <x:v>0</x:v>
      </x:c>
      <x:c r="M39" s="12" t="n">
        <x:f>IF(OR(I39="Saturday",I39="Sunday"),1,0)</x:f>
        <x:v>0</x:v>
      </x:c>
      <x:c r="N39" s="23" t="n">
        <x:v>15640.135</x:v>
      </x:c>
      <x:c r="O39" s="16" t="n">
        <x:f>IF(AND(N39&lt;&gt;"",N39&lt;=60),1,0)</x:f>
        <x:v>0</x:v>
      </x:c>
    </x:row>
    <x:row r="40">
      <x:c r="A40" s="11" t="str">
        <x:v>fc4833dd-9fcd-43c5-9a77-47e4f468a3cb</x:v>
      </x:c>
      <x:c r="B40" s="12" t="str">
        <x:v>***</x:v>
      </x:c>
      <x:c r="C40" s="13" t="str">
        <x:v>UTC 2026-07-16T04:28:15.928Z</x:v>
      </x:c>
      <x:c r="D40" s="14" t="n">
        <x:v>2483</x:v>
      </x:c>
      <x:c r="E40" s="12" t="str">
        <x:v>Investigation</x:v>
      </x:c>
      <x:c r="F40" s="12" t="str">
        <x:v>2026-07-15 23:28:15 CDT</x:v>
      </x:c>
      <x:c r="G40" s="12" t="str">
        <x:v>2026-07-15</x:v>
      </x:c>
      <x:c r="H40" s="15" t="n">
        <x:v>23</x:v>
      </x:c>
      <x:c r="I40" s="12" t="str">
        <x:v>Wednesday</x:v>
      </x:c>
      <x:c r="J40" s="12" t="str">
        <x:f>IF(D40=1,"1 network",IF(D40&lt;=135,"133–135 networks",IF(D40&lt;6000,"2,342–2,489 networks","6,248–6,295 networks")))</x:f>
        <x:v>2,342–2,489 networks</x:v>
      </x:c>
      <x:c r="K40" s="12" t="n">
        <x:f>IF(OR(H40&lt;6,H40&gt;=22),1,0)</x:f>
        <x:v>1</x:v>
      </x:c>
      <x:c r="L40" s="12" t="n">
        <x:f>IF(COUNTIF($A$2:$A$186,A40)&gt;1,1,0)</x:f>
        <x:v>0</x:v>
      </x:c>
      <x:c r="M40" s="12" t="n">
        <x:f>IF(OR(I40="Saturday",I40="Sunday"),1,0)</x:f>
        <x:v>0</x:v>
      </x:c>
      <x:c r="N40" s="23" t="n">
        <x:v>23125.012</x:v>
      </x:c>
      <x:c r="O40" s="16" t="n">
        <x:f>IF(AND(N40&lt;&gt;"",N40&lt;=60),1,0)</x:f>
        <x:v>0</x:v>
      </x:c>
    </x:row>
    <x:row r="41">
      <x:c r="A41" s="11" t="str">
        <x:v>abf203d1-bf2a-4b25-aa5b-c824a39677da</x:v>
      </x:c>
      <x:c r="B41" s="12" t="str">
        <x:v>***</x:v>
      </x:c>
      <x:c r="C41" s="13" t="str">
        <x:v>UTC 2026-07-16T10:31:51.479Z</x:v>
      </x:c>
      <x:c r="D41" s="14" t="n">
        <x:v>2483</x:v>
      </x:c>
      <x:c r="E41" s="12" t="str">
        <x:v>Investigation</x:v>
      </x:c>
      <x:c r="F41" s="12" t="str">
        <x:v>2026-07-16 05:31:51 CDT</x:v>
      </x:c>
      <x:c r="G41" s="12" t="str">
        <x:v>2026-07-16</x:v>
      </x:c>
      <x:c r="H41" s="15" t="n">
        <x:v>5</x:v>
      </x:c>
      <x:c r="I41" s="12" t="str">
        <x:v>Thursday</x:v>
      </x:c>
      <x:c r="J41" s="12" t="str">
        <x:f>IF(D41=1,"1 network",IF(D41&lt;=135,"133–135 networks",IF(D41&lt;6000,"2,342–2,489 networks","6,248–6,295 networks")))</x:f>
        <x:v>2,342–2,489 networks</x:v>
      </x:c>
      <x:c r="K41" s="12" t="n">
        <x:f>IF(OR(H41&lt;6,H41&gt;=22),1,0)</x:f>
        <x:v>1</x:v>
      </x:c>
      <x:c r="L41" s="12" t="n">
        <x:f>IF(COUNTIF($A$2:$A$186,A41)&gt;1,1,0)</x:f>
        <x:v>0</x:v>
      </x:c>
      <x:c r="M41" s="12" t="n">
        <x:f>IF(OR(I41="Saturday",I41="Sunday"),1,0)</x:f>
        <x:v>0</x:v>
      </x:c>
      <x:c r="N41" s="23" t="n">
        <x:v>21815.551</x:v>
      </x:c>
      <x:c r="O41" s="16" t="n">
        <x:f>IF(AND(N41&lt;&gt;"",N41&lt;=60),1,0)</x:f>
        <x:v>0</x:v>
      </x:c>
    </x:row>
    <x:row r="42">
      <x:c r="A42" s="11" t="str">
        <x:v>9e6dc69d-66e6-43b9-a8a2-b89f272d1378</x:v>
      </x:c>
      <x:c r="B42" s="12" t="str">
        <x:v>***</x:v>
      </x:c>
      <x:c r="C42" s="13" t="str">
        <x:v>UTC 2026-07-16T11:55:29.108Z</x:v>
      </x:c>
      <x:c r="D42" s="14" t="n">
        <x:v>2482</x:v>
      </x:c>
      <x:c r="E42" s="12" t="str">
        <x:v>Investigation</x:v>
      </x:c>
      <x:c r="F42" s="12" t="str">
        <x:v>2026-07-16 06:55:29 CDT</x:v>
      </x:c>
      <x:c r="G42" s="12" t="str">
        <x:v>2026-07-16</x:v>
      </x:c>
      <x:c r="H42" s="15" t="n">
        <x:v>6</x:v>
      </x:c>
      <x:c r="I42" s="12" t="str">
        <x:v>Thursday</x:v>
      </x:c>
      <x:c r="J42" s="12" t="str">
        <x:f>IF(D42=1,"1 network",IF(D42&lt;=135,"133–135 networks",IF(D42&lt;6000,"2,342–2,489 networks","6,248–6,295 networks")))</x:f>
        <x:v>2,342–2,489 networks</x:v>
      </x:c>
      <x:c r="K42" s="12" t="n">
        <x:f>IF(OR(H42&lt;6,H42&gt;=22),1,0)</x:f>
        <x:v>0</x:v>
      </x:c>
      <x:c r="L42" s="12" t="n">
        <x:f>IF(COUNTIF($A$2:$A$186,A42)&gt;1,1,0)</x:f>
        <x:v>0</x:v>
      </x:c>
      <x:c r="M42" s="12" t="n">
        <x:f>IF(OR(I42="Saturday",I42="Sunday"),1,0)</x:f>
        <x:v>0</x:v>
      </x:c>
      <x:c r="N42" s="23" t="n">
        <x:v>5017.629</x:v>
      </x:c>
      <x:c r="O42" s="16" t="n">
        <x:f>IF(AND(N42&lt;&gt;"",N42&lt;=60),1,0)</x:f>
        <x:v>0</x:v>
      </x:c>
    </x:row>
    <x:row r="43">
      <x:c r="A43" s="11" t="str">
        <x:v>f84c4caf-24c5-43cb-becd-2967d14f9aab</x:v>
      </x:c>
      <x:c r="B43" s="12" t="str">
        <x:v>***</x:v>
      </x:c>
      <x:c r="C43" s="13" t="str">
        <x:v>UTC 2026-07-16T18:51:38.493Z</x:v>
      </x:c>
      <x:c r="D43" s="14" t="n">
        <x:v>1</x:v>
      </x:c>
      <x:c r="E43" s="12" t="str">
        <x:v>Investigation</x:v>
      </x:c>
      <x:c r="F43" s="12" t="str">
        <x:v>2026-07-16 13:51:38 CDT</x:v>
      </x:c>
      <x:c r="G43" s="12" t="str">
        <x:v>2026-07-16</x:v>
      </x:c>
      <x:c r="H43" s="15" t="n">
        <x:v>13</x:v>
      </x:c>
      <x:c r="I43" s="12" t="str">
        <x:v>Thursday</x:v>
      </x:c>
      <x:c r="J43" s="12" t="str">
        <x:f>IF(D43=1,"1 network",IF(D43&lt;=135,"133–135 networks",IF(D43&lt;6000,"2,342–2,489 networks","6,248–6,295 networks")))</x:f>
        <x:v>1 network</x:v>
      </x:c>
      <x:c r="K43" s="12" t="n">
        <x:f>IF(OR(H43&lt;6,H43&gt;=22),1,0)</x:f>
        <x:v>0</x:v>
      </x:c>
      <x:c r="L43" s="12" t="n">
        <x:f>IF(COUNTIF($A$2:$A$186,A43)&gt;1,1,0)</x:f>
        <x:v>0</x:v>
      </x:c>
      <x:c r="M43" s="12" t="n">
        <x:f>IF(OR(I43="Saturday",I43="Sunday"),1,0)</x:f>
        <x:v>0</x:v>
      </x:c>
      <x:c r="N43" s="23" t="n">
        <x:v>24969.385</x:v>
      </x:c>
      <x:c r="O43" s="16" t="n">
        <x:f>IF(AND(N43&lt;&gt;"",N43&lt;=60),1,0)</x:f>
        <x:v>0</x:v>
      </x:c>
    </x:row>
    <x:row r="44">
      <x:c r="A44" s="11" t="str">
        <x:v>ac563c34-905d-47d0-8b49-4479d00c29c6</x:v>
      </x:c>
      <x:c r="B44" s="12" t="str">
        <x:v>***</x:v>
      </x:c>
      <x:c r="C44" s="13" t="str">
        <x:v>UTC 2026-07-16T19:02:16.260Z</x:v>
      </x:c>
      <x:c r="D44" s="14" t="n">
        <x:v>2481</x:v>
      </x:c>
      <x:c r="E44" s="12" t="str">
        <x:v>Investigation</x:v>
      </x:c>
      <x:c r="F44" s="12" t="str">
        <x:v>2026-07-16 14:02:16 CDT</x:v>
      </x:c>
      <x:c r="G44" s="12" t="str">
        <x:v>2026-07-16</x:v>
      </x:c>
      <x:c r="H44" s="15" t="n">
        <x:v>14</x:v>
      </x:c>
      <x:c r="I44" s="12" t="str">
        <x:v>Thursday</x:v>
      </x:c>
      <x:c r="J44" s="12" t="str">
        <x:f>IF(D44=1,"1 network",IF(D44&lt;=135,"133–135 networks",IF(D44&lt;6000,"2,342–2,489 networks","6,248–6,295 networks")))</x:f>
        <x:v>2,342–2,489 networks</x:v>
      </x:c>
      <x:c r="K44" s="12" t="n">
        <x:f>IF(OR(H44&lt;6,H44&gt;=22),1,0)</x:f>
        <x:v>0</x:v>
      </x:c>
      <x:c r="L44" s="12" t="n">
        <x:f>IF(COUNTIF($A$2:$A$186,A44)&gt;1,1,0)</x:f>
        <x:v>0</x:v>
      </x:c>
      <x:c r="M44" s="12" t="n">
        <x:f>IF(OR(I44="Saturday",I44="Sunday"),1,0)</x:f>
        <x:v>0</x:v>
      </x:c>
      <x:c r="N44" s="23" t="n">
        <x:v>637.767</x:v>
      </x:c>
      <x:c r="O44" s="16" t="n">
        <x:f>IF(AND(N44&lt;&gt;"",N44&lt;=60),1,0)</x:f>
        <x:v>0</x:v>
      </x:c>
    </x:row>
    <x:row r="45">
      <x:c r="A45" s="11" t="str">
        <x:v>e2bad6aa-76b7-4df5-8d96-993eba604aff</x:v>
      </x:c>
      <x:c r="B45" s="12" t="str">
        <x:v>***</x:v>
      </x:c>
      <x:c r="C45" s="13" t="str">
        <x:v>UTC 2026-07-17T07:51:09.079Z</x:v>
      </x:c>
      <x:c r="D45" s="14" t="n">
        <x:v>1</x:v>
      </x:c>
      <x:c r="E45" s="12" t="str">
        <x:v>Investigation</x:v>
      </x:c>
      <x:c r="F45" s="12" t="str">
        <x:v>2026-07-17 02:51:09 CDT</x:v>
      </x:c>
      <x:c r="G45" s="12" t="str">
        <x:v>2026-07-17</x:v>
      </x:c>
      <x:c r="H45" s="15" t="n">
        <x:v>2</x:v>
      </x:c>
      <x:c r="I45" s="12" t="str">
        <x:v>Friday</x:v>
      </x:c>
      <x:c r="J45" s="12" t="str">
        <x:f>IF(D45=1,"1 network",IF(D45&lt;=135,"133–135 networks",IF(D45&lt;6000,"2,342–2,489 networks","6,248–6,295 networks")))</x:f>
        <x:v>1 network</x:v>
      </x:c>
      <x:c r="K45" s="12" t="n">
        <x:f>IF(OR(H45&lt;6,H45&gt;=22),1,0)</x:f>
        <x:v>1</x:v>
      </x:c>
      <x:c r="L45" s="12" t="n">
        <x:f>IF(COUNTIF($A$2:$A$186,A45)&gt;1,1,0)</x:f>
        <x:v>0</x:v>
      </x:c>
      <x:c r="M45" s="12" t="n">
        <x:f>IF(OR(I45="Saturday",I45="Sunday"),1,0)</x:f>
        <x:v>0</x:v>
      </x:c>
      <x:c r="N45" s="23" t="n">
        <x:v>46132.819</x:v>
      </x:c>
      <x:c r="O45" s="16" t="n">
        <x:f>IF(AND(N45&lt;&gt;"",N45&lt;=60),1,0)</x:f>
        <x:v>0</x:v>
      </x:c>
    </x:row>
    <x:row r="46">
      <x:c r="A46" s="11" t="str">
        <x:v>2bbbfd94-4902-414f-b301-fb7babc835f9</x:v>
      </x:c>
      <x:c r="B46" s="12" t="str">
        <x:v>***</x:v>
      </x:c>
      <x:c r="C46" s="13" t="str">
        <x:v>UTC 2026-07-17T14:30:24.101Z</x:v>
      </x:c>
      <x:c r="D46" s="14" t="n">
        <x:v>2399</x:v>
      </x:c>
      <x:c r="E46" s="12" t="str">
        <x:v>Investigation</x:v>
      </x:c>
      <x:c r="F46" s="12" t="str">
        <x:v>2026-07-17 09:30:24 CDT</x:v>
      </x:c>
      <x:c r="G46" s="12" t="str">
        <x:v>2026-07-17</x:v>
      </x:c>
      <x:c r="H46" s="15" t="n">
        <x:v>9</x:v>
      </x:c>
      <x:c r="I46" s="12" t="str">
        <x:v>Friday</x:v>
      </x:c>
      <x:c r="J46" s="12" t="str">
        <x:f>IF(D46=1,"1 network",IF(D46&lt;=135,"133–135 networks",IF(D46&lt;6000,"2,342–2,489 networks","6,248–6,295 networks")))</x:f>
        <x:v>2,342–2,489 networks</x:v>
      </x:c>
      <x:c r="K46" s="12" t="n">
        <x:f>IF(OR(H46&lt;6,H46&gt;=22),1,0)</x:f>
        <x:v>0</x:v>
      </x:c>
      <x:c r="L46" s="12" t="n">
        <x:f>IF(COUNTIF($A$2:$A$186,A46)&gt;1,1,0)</x:f>
        <x:v>0</x:v>
      </x:c>
      <x:c r="M46" s="12" t="n">
        <x:f>IF(OR(I46="Saturday",I46="Sunday"),1,0)</x:f>
        <x:v>0</x:v>
      </x:c>
      <x:c r="N46" s="23" t="n">
        <x:v>23955.022</x:v>
      </x:c>
      <x:c r="O46" s="16" t="n">
        <x:f>IF(AND(N46&lt;&gt;"",N46&lt;=60),1,0)</x:f>
        <x:v>0</x:v>
      </x:c>
    </x:row>
    <x:row r="47">
      <x:c r="A47" s="11" t="str">
        <x:v>9775344f-4bc3-432e-b8e9-8bfbd4784464</x:v>
      </x:c>
      <x:c r="B47" s="12" t="str">
        <x:v>***</x:v>
      </x:c>
      <x:c r="C47" s="13" t="str">
        <x:v>UTC 2026-07-17T15:16:29.898Z</x:v>
      </x:c>
      <x:c r="D47" s="14" t="n">
        <x:v>2481</x:v>
      </x:c>
      <x:c r="E47" s="12" t="str">
        <x:v>Investigation</x:v>
      </x:c>
      <x:c r="F47" s="12" t="str">
        <x:v>2026-07-17 10:16:29 CDT</x:v>
      </x:c>
      <x:c r="G47" s="12" t="str">
        <x:v>2026-07-17</x:v>
      </x:c>
      <x:c r="H47" s="15" t="n">
        <x:v>10</x:v>
      </x:c>
      <x:c r="I47" s="12" t="str">
        <x:v>Friday</x:v>
      </x:c>
      <x:c r="J47" s="12" t="str">
        <x:f>IF(D47=1,"1 network",IF(D47&lt;=135,"133–135 networks",IF(D47&lt;6000,"2,342–2,489 networks","6,248–6,295 networks")))</x:f>
        <x:v>2,342–2,489 networks</x:v>
      </x:c>
      <x:c r="K47" s="12" t="n">
        <x:f>IF(OR(H47&lt;6,H47&gt;=22),1,0)</x:f>
        <x:v>0</x:v>
      </x:c>
      <x:c r="L47" s="12" t="n">
        <x:f>IF(COUNTIF($A$2:$A$186,A47)&gt;1,1,0)</x:f>
        <x:v>0</x:v>
      </x:c>
      <x:c r="M47" s="12" t="n">
        <x:f>IF(OR(I47="Saturday",I47="Sunday"),1,0)</x:f>
        <x:v>0</x:v>
      </x:c>
      <x:c r="N47" s="23" t="n">
        <x:v>2765.797</x:v>
      </x:c>
      <x:c r="O47" s="16" t="n">
        <x:f>IF(AND(N47&lt;&gt;"",N47&lt;=60),1,0)</x:f>
        <x:v>0</x:v>
      </x:c>
    </x:row>
    <x:row r="48">
      <x:c r="A48" s="11" t="str">
        <x:v>9ddb08d1-2e37-4daa-90f5-4425c4fb76ee</x:v>
      </x:c>
      <x:c r="B48" s="12" t="str">
        <x:v>***</x:v>
      </x:c>
      <x:c r="C48" s="13" t="str">
        <x:v>UTC 2026-07-17T16:11:35.997Z</x:v>
      </x:c>
      <x:c r="D48" s="14" t="n">
        <x:v>2481</x:v>
      </x:c>
      <x:c r="E48" s="12" t="str">
        <x:v>Investigation</x:v>
      </x:c>
      <x:c r="F48" s="12" t="str">
        <x:v>2026-07-17 11:11:35 CDT</x:v>
      </x:c>
      <x:c r="G48" s="12" t="str">
        <x:v>2026-07-17</x:v>
      </x:c>
      <x:c r="H48" s="15" t="n">
        <x:v>11</x:v>
      </x:c>
      <x:c r="I48" s="12" t="str">
        <x:v>Friday</x:v>
      </x:c>
      <x:c r="J48" s="12" t="str">
        <x:f>IF(D48=1,"1 network",IF(D48&lt;=135,"133–135 networks",IF(D48&lt;6000,"2,342–2,489 networks","6,248–6,295 networks")))</x:f>
        <x:v>2,342–2,489 networks</x:v>
      </x:c>
      <x:c r="K48" s="12" t="n">
        <x:f>IF(OR(H48&lt;6,H48&gt;=22),1,0)</x:f>
        <x:v>0</x:v>
      </x:c>
      <x:c r="L48" s="12" t="n">
        <x:f>IF(COUNTIF($A$2:$A$186,A48)&gt;1,1,0)</x:f>
        <x:v>0</x:v>
      </x:c>
      <x:c r="M48" s="12" t="n">
        <x:f>IF(OR(I48="Saturday",I48="Sunday"),1,0)</x:f>
        <x:v>0</x:v>
      </x:c>
      <x:c r="N48" s="23" t="n">
        <x:v>3306.099</x:v>
      </x:c>
      <x:c r="O48" s="16" t="n">
        <x:f>IF(AND(N48&lt;&gt;"",N48&lt;=60),1,0)</x:f>
        <x:v>0</x:v>
      </x:c>
    </x:row>
    <x:row r="49">
      <x:c r="A49" s="11" t="str">
        <x:v>6323e3e0-fd1a-41d6-937e-24e7606ed0e3</x:v>
      </x:c>
      <x:c r="B49" s="12" t="str">
        <x:v>***</x:v>
      </x:c>
      <x:c r="C49" s="13" t="str">
        <x:v>UTC 2026-07-17T18:17:33.505Z</x:v>
      </x:c>
      <x:c r="D49" s="14" t="n">
        <x:v>2481</x:v>
      </x:c>
      <x:c r="E49" s="12" t="str">
        <x:v>Investigation</x:v>
      </x:c>
      <x:c r="F49" s="12" t="str">
        <x:v>2026-07-17 13:17:33 CDT</x:v>
      </x:c>
      <x:c r="G49" s="12" t="str">
        <x:v>2026-07-17</x:v>
      </x:c>
      <x:c r="H49" s="15" t="n">
        <x:v>13</x:v>
      </x:c>
      <x:c r="I49" s="12" t="str">
        <x:v>Friday</x:v>
      </x:c>
      <x:c r="J49" s="12" t="str">
        <x:f>IF(D49=1,"1 network",IF(D49&lt;=135,"133–135 networks",IF(D49&lt;6000,"2,342–2,489 networks","6,248–6,295 networks")))</x:f>
        <x:v>2,342–2,489 networks</x:v>
      </x:c>
      <x:c r="K49" s="12" t="n">
        <x:f>IF(OR(H49&lt;6,H49&gt;=22),1,0)</x:f>
        <x:v>0</x:v>
      </x:c>
      <x:c r="L49" s="12" t="n">
        <x:f>IF(COUNTIF($A$2:$A$186,A49)&gt;1,1,0)</x:f>
        <x:v>0</x:v>
      </x:c>
      <x:c r="M49" s="12" t="n">
        <x:f>IF(OR(I49="Saturday",I49="Sunday"),1,0)</x:f>
        <x:v>0</x:v>
      </x:c>
      <x:c r="N49" s="23" t="n">
        <x:v>7557.508</x:v>
      </x:c>
      <x:c r="O49" s="16" t="n">
        <x:f>IF(AND(N49&lt;&gt;"",N49&lt;=60),1,0)</x:f>
        <x:v>0</x:v>
      </x:c>
    </x:row>
    <x:row r="50">
      <x:c r="A50" s="11" t="str">
        <x:v>af8e9aa0-55e3-4702-8c9e-8879c1934ced</x:v>
      </x:c>
      <x:c r="B50" s="12" t="str">
        <x:v>***</x:v>
      </x:c>
      <x:c r="C50" s="13" t="str">
        <x:v>UTC 2026-07-17T19:56:04.202Z</x:v>
      </x:c>
      <x:c r="D50" s="14" t="n">
        <x:v>6293</x:v>
      </x:c>
      <x:c r="E50" s="12" t="str">
        <x:v>Investigation</x:v>
      </x:c>
      <x:c r="F50" s="12" t="str">
        <x:v>2026-07-17 14:56:04 CDT</x:v>
      </x:c>
      <x:c r="G50" s="12" t="str">
        <x:v>2026-07-17</x:v>
      </x:c>
      <x:c r="H50" s="15" t="n">
        <x:v>14</x:v>
      </x:c>
      <x:c r="I50" s="12" t="str">
        <x:v>Friday</x:v>
      </x:c>
      <x:c r="J50" s="12" t="str">
        <x:f>IF(D50=1,"1 network",IF(D50&lt;=135,"133–135 networks",IF(D50&lt;6000,"2,342–2,489 networks","6,248–6,295 networks")))</x:f>
        <x:v>6,248–6,295 networks</x:v>
      </x:c>
      <x:c r="K50" s="12" t="n">
        <x:f>IF(OR(H50&lt;6,H50&gt;=22),1,0)</x:f>
        <x:v>0</x:v>
      </x:c>
      <x:c r="L50" s="12" t="n">
        <x:f>IF(COUNTIF($A$2:$A$186,A50)&gt;1,1,0)</x:f>
        <x:v>0</x:v>
      </x:c>
      <x:c r="M50" s="12" t="n">
        <x:f>IF(OR(I50="Saturday",I50="Sunday"),1,0)</x:f>
        <x:v>0</x:v>
      </x:c>
      <x:c r="N50" s="23" t="n">
        <x:v>5910.697</x:v>
      </x:c>
      <x:c r="O50" s="16" t="n">
        <x:f>IF(AND(N50&lt;&gt;"",N50&lt;=60),1,0)</x:f>
        <x:v>0</x:v>
      </x:c>
    </x:row>
    <x:row r="51">
      <x:c r="A51" s="11" t="str">
        <x:v>00f6567a-4adc-401b-91fb-b0224fcf2963</x:v>
      </x:c>
      <x:c r="B51" s="12" t="str">
        <x:v>***</x:v>
      </x:c>
      <x:c r="C51" s="13" t="str">
        <x:v>UTC 2026-07-17T23:29:57.839Z</x:v>
      </x:c>
      <x:c r="D51" s="14" t="n">
        <x:v>134</x:v>
      </x:c>
      <x:c r="E51" s="12" t="str">
        <x:v>Investigation</x:v>
      </x:c>
      <x:c r="F51" s="12" t="str">
        <x:v>2026-07-17 18:29:57 CDT</x:v>
      </x:c>
      <x:c r="G51" s="12" t="str">
        <x:v>2026-07-17</x:v>
      </x:c>
      <x:c r="H51" s="15" t="n">
        <x:v>18</x:v>
      </x:c>
      <x:c r="I51" s="12" t="str">
        <x:v>Friday</x:v>
      </x:c>
      <x:c r="J51" s="12" t="str">
        <x:f>IF(D51=1,"1 network",IF(D51&lt;=135,"133–135 networks",IF(D51&lt;6000,"2,342–2,489 networks","6,248–6,295 networks")))</x:f>
        <x:v>133–135 networks</x:v>
      </x:c>
      <x:c r="K51" s="12" t="n">
        <x:f>IF(OR(H51&lt;6,H51&gt;=22),1,0)</x:f>
        <x:v>0</x:v>
      </x:c>
      <x:c r="L51" s="12" t="n">
        <x:f>IF(COUNTIF($A$2:$A$186,A51)&gt;1,1,0)</x:f>
        <x:v>0</x:v>
      </x:c>
      <x:c r="M51" s="12" t="n">
        <x:f>IF(OR(I51="Saturday",I51="Sunday"),1,0)</x:f>
        <x:v>0</x:v>
      </x:c>
      <x:c r="N51" s="23" t="n">
        <x:v>12833.637</x:v>
      </x:c>
      <x:c r="O51" s="16" t="n">
        <x:f>IF(AND(N51&lt;&gt;"",N51&lt;=60),1,0)</x:f>
        <x:v>0</x:v>
      </x:c>
    </x:row>
    <x:row r="52">
      <x:c r="A52" s="11" t="str">
        <x:v>8090bbd1-28da-4e92-b4f7-817e1d266ec6</x:v>
      </x:c>
      <x:c r="B52" s="12" t="str">
        <x:v>***</x:v>
      </x:c>
      <x:c r="C52" s="13" t="str">
        <x:v>UTC 2026-07-18T00:01:54.277Z</x:v>
      </x:c>
      <x:c r="D52" s="14" t="n">
        <x:v>2398</x:v>
      </x:c>
      <x:c r="E52" s="12" t="str">
        <x:v>Investigation</x:v>
      </x:c>
      <x:c r="F52" s="12" t="str">
        <x:v>2026-07-17 19:01:54 CDT</x:v>
      </x:c>
      <x:c r="G52" s="12" t="str">
        <x:v>2026-07-17</x:v>
      </x:c>
      <x:c r="H52" s="15" t="n">
        <x:v>19</x:v>
      </x:c>
      <x:c r="I52" s="12" t="str">
        <x:v>Friday</x:v>
      </x:c>
      <x:c r="J52" s="12" t="str">
        <x:f>IF(D52=1,"1 network",IF(D52&lt;=135,"133–135 networks",IF(D52&lt;6000,"2,342–2,489 networks","6,248–6,295 networks")))</x:f>
        <x:v>2,342–2,489 networks</x:v>
      </x:c>
      <x:c r="K52" s="12" t="n">
        <x:f>IF(OR(H52&lt;6,H52&gt;=22),1,0)</x:f>
        <x:v>0</x:v>
      </x:c>
      <x:c r="L52" s="12" t="n">
        <x:f>IF(COUNTIF($A$2:$A$186,A52)&gt;1,1,0)</x:f>
        <x:v>0</x:v>
      </x:c>
      <x:c r="M52" s="12" t="n">
        <x:f>IF(OR(I52="Saturday",I52="Sunday"),1,0)</x:f>
        <x:v>0</x:v>
      </x:c>
      <x:c r="N52" s="23" t="n">
        <x:v>1916.438</x:v>
      </x:c>
      <x:c r="O52" s="16" t="n">
        <x:f>IF(AND(N52&lt;&gt;"",N52&lt;=60),1,0)</x:f>
        <x:v>0</x:v>
      </x:c>
    </x:row>
    <x:row r="53">
      <x:c r="A53" s="11" t="str">
        <x:v>5b896030-3f22-4b6c-9cea-dd94f40ddb94</x:v>
      </x:c>
      <x:c r="B53" s="12" t="str">
        <x:v>***</x:v>
      </x:c>
      <x:c r="C53" s="13" t="str">
        <x:v>UTC 2026-07-18T15:02:53.210Z</x:v>
      </x:c>
      <x:c r="D53" s="14" t="n">
        <x:v>134</x:v>
      </x:c>
      <x:c r="E53" s="12" t="str">
        <x:v>Investigation</x:v>
      </x:c>
      <x:c r="F53" s="12" t="str">
        <x:v>2026-07-18 10:02:53 CDT</x:v>
      </x:c>
      <x:c r="G53" s="12" t="str">
        <x:v>2026-07-18</x:v>
      </x:c>
      <x:c r="H53" s="15" t="n">
        <x:v>10</x:v>
      </x:c>
      <x:c r="I53" s="12" t="str">
        <x:v>Saturday</x:v>
      </x:c>
      <x:c r="J53" s="12" t="str">
        <x:f>IF(D53=1,"1 network",IF(D53&lt;=135,"133–135 networks",IF(D53&lt;6000,"2,342–2,489 networks","6,248–6,295 networks")))</x:f>
        <x:v>133–135 networks</x:v>
      </x:c>
      <x:c r="K53" s="12" t="n">
        <x:f>IF(OR(H53&lt;6,H53&gt;=22),1,0)</x:f>
        <x:v>0</x:v>
      </x:c>
      <x:c r="L53" s="12" t="n">
        <x:f>IF(COUNTIF($A$2:$A$186,A53)&gt;1,1,0)</x:f>
        <x:v>0</x:v>
      </x:c>
      <x:c r="M53" s="12" t="n">
        <x:f>IF(OR(I53="Saturday",I53="Sunday"),1,0)</x:f>
        <x:v>1</x:v>
      </x:c>
      <x:c r="N53" s="23" t="n">
        <x:v>54058.933</x:v>
      </x:c>
      <x:c r="O53" s="16" t="n">
        <x:f>IF(AND(N53&lt;&gt;"",N53&lt;=60),1,0)</x:f>
        <x:v>0</x:v>
      </x:c>
    </x:row>
    <x:row r="54">
      <x:c r="A54" s="11" t="str">
        <x:v>b838e3db-750b-4116-91fb-3b329d141ff4</x:v>
      </x:c>
      <x:c r="B54" s="12" t="str">
        <x:v>***</x:v>
      </x:c>
      <x:c r="C54" s="13" t="str">
        <x:v>UTC 2026-07-18T21:17:18.139Z</x:v>
      </x:c>
      <x:c r="D54" s="14" t="n">
        <x:v>134</x:v>
      </x:c>
      <x:c r="E54" s="12" t="str">
        <x:v>Investigation</x:v>
      </x:c>
      <x:c r="F54" s="12" t="str">
        <x:v>2026-07-18 16:17:18 CDT</x:v>
      </x:c>
      <x:c r="G54" s="12" t="str">
        <x:v>2026-07-18</x:v>
      </x:c>
      <x:c r="H54" s="15" t="n">
        <x:v>16</x:v>
      </x:c>
      <x:c r="I54" s="12" t="str">
        <x:v>Saturday</x:v>
      </x:c>
      <x:c r="J54" s="12" t="str">
        <x:f>IF(D54=1,"1 network",IF(D54&lt;=135,"133–135 networks",IF(D54&lt;6000,"2,342–2,489 networks","6,248–6,295 networks")))</x:f>
        <x:v>133–135 networks</x:v>
      </x:c>
      <x:c r="K54" s="12" t="n">
        <x:f>IF(OR(H54&lt;6,H54&gt;=22),1,0)</x:f>
        <x:v>0</x:v>
      </x:c>
      <x:c r="L54" s="12" t="n">
        <x:f>IF(COUNTIF($A$2:$A$186,A54)&gt;1,1,0)</x:f>
        <x:v>0</x:v>
      </x:c>
      <x:c r="M54" s="12" t="n">
        <x:f>IF(OR(I54="Saturday",I54="Sunday"),1,0)</x:f>
        <x:v>1</x:v>
      </x:c>
      <x:c r="N54" s="23" t="n">
        <x:v>22464.929</x:v>
      </x:c>
      <x:c r="O54" s="16" t="n">
        <x:f>IF(AND(N54&lt;&gt;"",N54&lt;=60),1,0)</x:f>
        <x:v>0</x:v>
      </x:c>
    </x:row>
    <x:row r="55">
      <x:c r="A55" s="11" t="str">
        <x:v>89d99639-da80-44be-9dd2-6844e59d12d1</x:v>
      </x:c>
      <x:c r="B55" s="12" t="str">
        <x:v>***</x:v>
      </x:c>
      <x:c r="C55" s="13" t="str">
        <x:v>UTC 2026-07-18T21:21:58.457Z</x:v>
      </x:c>
      <x:c r="D55" s="14" t="n">
        <x:v>2479</x:v>
      </x:c>
      <x:c r="E55" s="12" t="str">
        <x:v>Investigation</x:v>
      </x:c>
      <x:c r="F55" s="12" t="str">
        <x:v>2026-07-18 16:21:58 CDT</x:v>
      </x:c>
      <x:c r="G55" s="12" t="str">
        <x:v>2026-07-18</x:v>
      </x:c>
      <x:c r="H55" s="15" t="n">
        <x:v>16</x:v>
      </x:c>
      <x:c r="I55" s="12" t="str">
        <x:v>Saturday</x:v>
      </x:c>
      <x:c r="J55" s="12" t="str">
        <x:f>IF(D55=1,"1 network",IF(D55&lt;=135,"133–135 networks",IF(D55&lt;6000,"2,342–2,489 networks","6,248–6,295 networks")))</x:f>
        <x:v>2,342–2,489 networks</x:v>
      </x:c>
      <x:c r="K55" s="12" t="n">
        <x:f>IF(OR(H55&lt;6,H55&gt;=22),1,0)</x:f>
        <x:v>0</x:v>
      </x:c>
      <x:c r="L55" s="12" t="n">
        <x:f>IF(COUNTIF($A$2:$A$186,A55)&gt;1,1,0)</x:f>
        <x:v>0</x:v>
      </x:c>
      <x:c r="M55" s="12" t="n">
        <x:f>IF(OR(I55="Saturday",I55="Sunday"),1,0)</x:f>
        <x:v>1</x:v>
      </x:c>
      <x:c r="N55" s="23" t="n">
        <x:v>280.318</x:v>
      </x:c>
      <x:c r="O55" s="16" t="n">
        <x:f>IF(AND(N55&lt;&gt;"",N55&lt;=60),1,0)</x:f>
        <x:v>0</x:v>
      </x:c>
    </x:row>
    <x:row r="56">
      <x:c r="A56" s="11" t="str">
        <x:v>8aa9e5cc-bcf9-4c16-a334-3e42764fe347</x:v>
      </x:c>
      <x:c r="B56" s="12" t="str">
        <x:v>***</x:v>
      </x:c>
      <x:c r="C56" s="13" t="str">
        <x:v>UTC 2026-07-18T22:18:31.787Z</x:v>
      </x:c>
      <x:c r="D56" s="14" t="n">
        <x:v>2402</x:v>
      </x:c>
      <x:c r="E56" s="12" t="str">
        <x:v>Investigation</x:v>
      </x:c>
      <x:c r="F56" s="12" t="str">
        <x:v>2026-07-18 17:18:31 CDT</x:v>
      </x:c>
      <x:c r="G56" s="12" t="str">
        <x:v>2026-07-18</x:v>
      </x:c>
      <x:c r="H56" s="15" t="n">
        <x:v>17</x:v>
      </x:c>
      <x:c r="I56" s="12" t="str">
        <x:v>Saturday</x:v>
      </x:c>
      <x:c r="J56" s="12" t="str">
        <x:f>IF(D56=1,"1 network",IF(D56&lt;=135,"133–135 networks",IF(D56&lt;6000,"2,342–2,489 networks","6,248–6,295 networks")))</x:f>
        <x:v>2,342–2,489 networks</x:v>
      </x:c>
      <x:c r="K56" s="12" t="n">
        <x:f>IF(OR(H56&lt;6,H56&gt;=22),1,0)</x:f>
        <x:v>0</x:v>
      </x:c>
      <x:c r="L56" s="12" t="n">
        <x:f>IF(COUNTIF($A$2:$A$186,A56)&gt;1,1,0)</x:f>
        <x:v>0</x:v>
      </x:c>
      <x:c r="M56" s="12" t="n">
        <x:f>IF(OR(I56="Saturday",I56="Sunday"),1,0)</x:f>
        <x:v>1</x:v>
      </x:c>
      <x:c r="N56" s="23" t="n">
        <x:v>3393.33</x:v>
      </x:c>
      <x:c r="O56" s="16" t="n">
        <x:f>IF(AND(N56&lt;&gt;"",N56&lt;=60),1,0)</x:f>
        <x:v>0</x:v>
      </x:c>
    </x:row>
    <x:row r="57">
      <x:c r="A57" s="11" t="str">
        <x:v>9499c3c4-ec76-4019-a7b5-7055eafa0cf5</x:v>
      </x:c>
      <x:c r="B57" s="12" t="str">
        <x:v>***</x:v>
      </x:c>
      <x:c r="C57" s="13" t="str">
        <x:v>UTC 2026-07-19T17:06:49.378Z</x:v>
      </x:c>
      <x:c r="D57" s="14" t="n">
        <x:v>6295</x:v>
      </x:c>
      <x:c r="E57" s="12" t="str">
        <x:v>Investigation</x:v>
      </x:c>
      <x:c r="F57" s="12" t="str">
        <x:v>2026-07-19 12:06:49 CDT</x:v>
      </x:c>
      <x:c r="G57" s="12" t="str">
        <x:v>2026-07-19</x:v>
      </x:c>
      <x:c r="H57" s="15" t="n">
        <x:v>12</x:v>
      </x:c>
      <x:c r="I57" s="12" t="str">
        <x:v>Sunday</x:v>
      </x:c>
      <x:c r="J57" s="12" t="str">
        <x:f>IF(D57=1,"1 network",IF(D57&lt;=135,"133–135 networks",IF(D57&lt;6000,"2,342–2,489 networks","6,248–6,295 networks")))</x:f>
        <x:v>6,248–6,295 networks</x:v>
      </x:c>
      <x:c r="K57" s="12" t="n">
        <x:f>IF(OR(H57&lt;6,H57&gt;=22),1,0)</x:f>
        <x:v>0</x:v>
      </x:c>
      <x:c r="L57" s="12" t="n">
        <x:f>IF(COUNTIF($A$2:$A$186,A57)&gt;1,1,0)</x:f>
        <x:v>0</x:v>
      </x:c>
      <x:c r="M57" s="12" t="n">
        <x:f>IF(OR(I57="Saturday",I57="Sunday"),1,0)</x:f>
        <x:v>1</x:v>
      </x:c>
      <x:c r="N57" s="23" t="n">
        <x:v>67697.591</x:v>
      </x:c>
      <x:c r="O57" s="16" t="n">
        <x:f>IF(AND(N57&lt;&gt;"",N57&lt;=60),1,0)</x:f>
        <x:v>0</x:v>
      </x:c>
    </x:row>
    <x:row r="58">
      <x:c r="A58" s="11" t="str">
        <x:v>2501775e-68a2-46cc-959e-407128c847c5</x:v>
      </x:c>
      <x:c r="B58" s="12" t="str">
        <x:v>***</x:v>
      </x:c>
      <x:c r="C58" s="13" t="str">
        <x:v>UTC 2026-07-19T17:48:57.657Z</x:v>
      </x:c>
      <x:c r="D58" s="14" t="n">
        <x:v>2402</x:v>
      </x:c>
      <x:c r="E58" s="12" t="str">
        <x:v>Investigation</x:v>
      </x:c>
      <x:c r="F58" s="12" t="str">
        <x:v>2026-07-19 12:48:57 CDT</x:v>
      </x:c>
      <x:c r="G58" s="12" t="str">
        <x:v>2026-07-19</x:v>
      </x:c>
      <x:c r="H58" s="15" t="n">
        <x:v>12</x:v>
      </x:c>
      <x:c r="I58" s="12" t="str">
        <x:v>Sunday</x:v>
      </x:c>
      <x:c r="J58" s="12" t="str">
        <x:f>IF(D58=1,"1 network",IF(D58&lt;=135,"133–135 networks",IF(D58&lt;6000,"2,342–2,489 networks","6,248–6,295 networks")))</x:f>
        <x:v>2,342–2,489 networks</x:v>
      </x:c>
      <x:c r="K58" s="12" t="n">
        <x:f>IF(OR(H58&lt;6,H58&gt;=22),1,0)</x:f>
        <x:v>0</x:v>
      </x:c>
      <x:c r="L58" s="12" t="n">
        <x:f>IF(COUNTIF($A$2:$A$186,A58)&gt;1,1,0)</x:f>
        <x:v>0</x:v>
      </x:c>
      <x:c r="M58" s="12" t="n">
        <x:f>IF(OR(I58="Saturday",I58="Sunday"),1,0)</x:f>
        <x:v>1</x:v>
      </x:c>
      <x:c r="N58" s="23" t="n">
        <x:v>2528.279</x:v>
      </x:c>
      <x:c r="O58" s="16" t="n">
        <x:f>IF(AND(N58&lt;&gt;"",N58&lt;=60),1,0)</x:f>
        <x:v>0</x:v>
      </x:c>
    </x:row>
    <x:row r="59">
      <x:c r="A59" s="11" t="str">
        <x:v>906da7cc-f5fa-464e-b6e5-75ec1d4d2195</x:v>
      </x:c>
      <x:c r="B59" s="12" t="str">
        <x:v>***</x:v>
      </x:c>
      <x:c r="C59" s="13" t="str">
        <x:v>UTC 2026-07-20T14:31:47.469Z</x:v>
      </x:c>
      <x:c r="D59" s="14" t="n">
        <x:v>1</x:v>
      </x:c>
      <x:c r="E59" s="12" t="str">
        <x:v>Investigation</x:v>
      </x:c>
      <x:c r="F59" s="12" t="str">
        <x:v>2026-07-20 09:31:47 CDT</x:v>
      </x:c>
      <x:c r="G59" s="12" t="str">
        <x:v>2026-07-20</x:v>
      </x:c>
      <x:c r="H59" s="15" t="n">
        <x:v>9</x:v>
      </x:c>
      <x:c r="I59" s="12" t="str">
        <x:v>Monday</x:v>
      </x:c>
      <x:c r="J59" s="12" t="str">
        <x:f>IF(D59=1,"1 network",IF(D59&lt;=135,"133–135 networks",IF(D59&lt;6000,"2,342–2,489 networks","6,248–6,295 networks")))</x:f>
        <x:v>1 network</x:v>
      </x:c>
      <x:c r="K59" s="12" t="n">
        <x:f>IF(OR(H59&lt;6,H59&gt;=22),1,0)</x:f>
        <x:v>0</x:v>
      </x:c>
      <x:c r="L59" s="12" t="n">
        <x:f>IF(COUNTIF($A$2:$A$186,A59)&gt;1,1,0)</x:f>
        <x:v>0</x:v>
      </x:c>
      <x:c r="M59" s="12" t="n">
        <x:f>IF(OR(I59="Saturday",I59="Sunday"),1,0)</x:f>
        <x:v>0</x:v>
      </x:c>
      <x:c r="N59" s="23" t="n">
        <x:v>74569.812</x:v>
      </x:c>
      <x:c r="O59" s="16" t="n">
        <x:f>IF(AND(N59&lt;&gt;"",N59&lt;=60),1,0)</x:f>
        <x:v>0</x:v>
      </x:c>
    </x:row>
    <x:row r="60">
      <x:c r="A60" s="11" t="str">
        <x:v>7d6287de-aa3b-4362-a0b9-02c2a07527ce</x:v>
      </x:c>
      <x:c r="B60" s="12" t="str">
        <x:v>***</x:v>
      </x:c>
      <x:c r="C60" s="13" t="str">
        <x:v>UTC 2026-07-20T17:45:11.996Z</x:v>
      </x:c>
      <x:c r="D60" s="14" t="n">
        <x:v>2477</x:v>
      </x:c>
      <x:c r="E60" s="12" t="str">
        <x:v>Investigation</x:v>
      </x:c>
      <x:c r="F60" s="12" t="str">
        <x:v>2026-07-20 12:45:11 CDT</x:v>
      </x:c>
      <x:c r="G60" s="12" t="str">
        <x:v>2026-07-20</x:v>
      </x:c>
      <x:c r="H60" s="15" t="n">
        <x:v>12</x:v>
      </x:c>
      <x:c r="I60" s="12" t="str">
        <x:v>Monday</x:v>
      </x:c>
      <x:c r="J60" s="12" t="str">
        <x:f>IF(D60=1,"1 network",IF(D60&lt;=135,"133–135 networks",IF(D60&lt;6000,"2,342–2,489 networks","6,248–6,295 networks")))</x:f>
        <x:v>2,342–2,489 networks</x:v>
      </x:c>
      <x:c r="K60" s="12" t="n">
        <x:f>IF(OR(H60&lt;6,H60&gt;=22),1,0)</x:f>
        <x:v>0</x:v>
      </x:c>
      <x:c r="L60" s="12" t="n">
        <x:f>IF(COUNTIF($A$2:$A$186,A60)&gt;1,1,0)</x:f>
        <x:v>0</x:v>
      </x:c>
      <x:c r="M60" s="12" t="n">
        <x:f>IF(OR(I60="Saturday",I60="Sunday"),1,0)</x:f>
        <x:v>0</x:v>
      </x:c>
      <x:c r="N60" s="23" t="n">
        <x:v>11604.527</x:v>
      </x:c>
      <x:c r="O60" s="16" t="n">
        <x:f>IF(AND(N60&lt;&gt;"",N60&lt;=60),1,0)</x:f>
        <x:v>0</x:v>
      </x:c>
    </x:row>
    <x:row r="61">
      <x:c r="A61" s="11" t="str">
        <x:v>6c8e4956-61a7-40d1-a2d2-667743134432</x:v>
      </x:c>
      <x:c r="B61" s="12" t="str">
        <x:v>***</x:v>
      </x:c>
      <x:c r="C61" s="13" t="str">
        <x:v>UTC 2026-07-20T18:11:13.439Z</x:v>
      </x:c>
      <x:c r="D61" s="14" t="n">
        <x:v>2477</x:v>
      </x:c>
      <x:c r="E61" s="12" t="str">
        <x:v>Investigation</x:v>
      </x:c>
      <x:c r="F61" s="12" t="str">
        <x:v>2026-07-20 13:11:13 CDT</x:v>
      </x:c>
      <x:c r="G61" s="12" t="str">
        <x:v>2026-07-20</x:v>
      </x:c>
      <x:c r="H61" s="15" t="n">
        <x:v>13</x:v>
      </x:c>
      <x:c r="I61" s="12" t="str">
        <x:v>Monday</x:v>
      </x:c>
      <x:c r="J61" s="12" t="str">
        <x:f>IF(D61=1,"1 network",IF(D61&lt;=135,"133–135 networks",IF(D61&lt;6000,"2,342–2,489 networks","6,248–6,295 networks")))</x:f>
        <x:v>2,342–2,489 networks</x:v>
      </x:c>
      <x:c r="K61" s="12" t="n">
        <x:f>IF(OR(H61&lt;6,H61&gt;=22),1,0)</x:f>
        <x:v>0</x:v>
      </x:c>
      <x:c r="L61" s="12" t="n">
        <x:f>IF(COUNTIF($A$2:$A$186,A61)&gt;1,1,0)</x:f>
        <x:v>0</x:v>
      </x:c>
      <x:c r="M61" s="12" t="n">
        <x:f>IF(OR(I61="Saturday",I61="Sunday"),1,0)</x:f>
        <x:v>0</x:v>
      </x:c>
      <x:c r="N61" s="23" t="n">
        <x:v>1561.443</x:v>
      </x:c>
      <x:c r="O61" s="16" t="n">
        <x:f>IF(AND(N61&lt;&gt;"",N61&lt;=60),1,0)</x:f>
        <x:v>0</x:v>
      </x:c>
    </x:row>
    <x:row r="62">
      <x:c r="A62" s="11" t="str">
        <x:v>3cf84bf8-4094-4ba9-81a6-319e1e13e2b9</x:v>
      </x:c>
      <x:c r="B62" s="12" t="str">
        <x:v>***</x:v>
      </x:c>
      <x:c r="C62" s="13" t="str">
        <x:v>UTC 2026-07-20T19:06:27.456Z</x:v>
      </x:c>
      <x:c r="D62" s="14" t="n">
        <x:v>2477</x:v>
      </x:c>
      <x:c r="E62" s="12" t="str">
        <x:v>Investigation</x:v>
      </x:c>
      <x:c r="F62" s="12" t="str">
        <x:v>2026-07-20 14:06:27 CDT</x:v>
      </x:c>
      <x:c r="G62" s="12" t="str">
        <x:v>2026-07-20</x:v>
      </x:c>
      <x:c r="H62" s="15" t="n">
        <x:v>14</x:v>
      </x:c>
      <x:c r="I62" s="12" t="str">
        <x:v>Monday</x:v>
      </x:c>
      <x:c r="J62" s="12" t="str">
        <x:f>IF(D62=1,"1 network",IF(D62&lt;=135,"133–135 networks",IF(D62&lt;6000,"2,342–2,489 networks","6,248–6,295 networks")))</x:f>
        <x:v>2,342–2,489 networks</x:v>
      </x:c>
      <x:c r="K62" s="12" t="n">
        <x:f>IF(OR(H62&lt;6,H62&gt;=22),1,0)</x:f>
        <x:v>0</x:v>
      </x:c>
      <x:c r="L62" s="12" t="n">
        <x:f>IF(COUNTIF($A$2:$A$186,A62)&gt;1,1,0)</x:f>
        <x:v>0</x:v>
      </x:c>
      <x:c r="M62" s="12" t="n">
        <x:f>IF(OR(I62="Saturday",I62="Sunday"),1,0)</x:f>
        <x:v>0</x:v>
      </x:c>
      <x:c r="N62" s="23" t="n">
        <x:v>3314.017</x:v>
      </x:c>
      <x:c r="O62" s="16" t="n">
        <x:f>IF(AND(N62&lt;&gt;"",N62&lt;=60),1,0)</x:f>
        <x:v>0</x:v>
      </x:c>
    </x:row>
    <x:row r="63">
      <x:c r="A63" s="11" t="str">
        <x:v>aa9289d6-881c-4712-98dd-611a0725b84a</x:v>
      </x:c>
      <x:c r="B63" s="12" t="str">
        <x:v>***</x:v>
      </x:c>
      <x:c r="C63" s="13" t="str">
        <x:v>UTC 2026-07-20T19:13:07.597Z</x:v>
      </x:c>
      <x:c r="D63" s="14" t="n">
        <x:v>134</x:v>
      </x:c>
      <x:c r="E63" s="12" t="str">
        <x:v>Investigation</x:v>
      </x:c>
      <x:c r="F63" s="12" t="str">
        <x:v>2026-07-20 14:13:07 CDT</x:v>
      </x:c>
      <x:c r="G63" s="12" t="str">
        <x:v>2026-07-20</x:v>
      </x:c>
      <x:c r="H63" s="15" t="n">
        <x:v>14</x:v>
      </x:c>
      <x:c r="I63" s="12" t="str">
        <x:v>Monday</x:v>
      </x:c>
      <x:c r="J63" s="12" t="str">
        <x:f>IF(D63=1,"1 network",IF(D63&lt;=135,"133–135 networks",IF(D63&lt;6000,"2,342–2,489 networks","6,248–6,295 networks")))</x:f>
        <x:v>133–135 networks</x:v>
      </x:c>
      <x:c r="K63" s="12" t="n">
        <x:f>IF(OR(H63&lt;6,H63&gt;=22),1,0)</x:f>
        <x:v>0</x:v>
      </x:c>
      <x:c r="L63" s="12" t="n">
        <x:f>IF(COUNTIF($A$2:$A$186,A63)&gt;1,1,0)</x:f>
        <x:v>0</x:v>
      </x:c>
      <x:c r="M63" s="12" t="n">
        <x:f>IF(OR(I63="Saturday",I63="Sunday"),1,0)</x:f>
        <x:v>0</x:v>
      </x:c>
      <x:c r="N63" s="23" t="n">
        <x:v>400.141</x:v>
      </x:c>
      <x:c r="O63" s="16" t="n">
        <x:f>IF(AND(N63&lt;&gt;"",N63&lt;=60),1,0)</x:f>
        <x:v>0</x:v>
      </x:c>
    </x:row>
    <x:row r="64">
      <x:c r="A64" s="11" t="str">
        <x:v>89535c61-7ee0-4e32-bbd6-2c8a72f043cd</x:v>
      </x:c>
      <x:c r="B64" s="12" t="str">
        <x:v>***</x:v>
      </x:c>
      <x:c r="C64" s="13" t="str">
        <x:v>UTC 2026-07-20T20:31:42.730Z</x:v>
      </x:c>
      <x:c r="D64" s="14" t="n">
        <x:v>2477</x:v>
      </x:c>
      <x:c r="E64" s="12" t="str">
        <x:v>Investigation</x:v>
      </x:c>
      <x:c r="F64" s="12" t="str">
        <x:v>2026-07-20 15:31:42 CDT</x:v>
      </x:c>
      <x:c r="G64" s="12" t="str">
        <x:v>2026-07-20</x:v>
      </x:c>
      <x:c r="H64" s="15" t="n">
        <x:v>15</x:v>
      </x:c>
      <x:c r="I64" s="12" t="str">
        <x:v>Monday</x:v>
      </x:c>
      <x:c r="J64" s="12" t="str">
        <x:f>IF(D64=1,"1 network",IF(D64&lt;=135,"133–135 networks",IF(D64&lt;6000,"2,342–2,489 networks","6,248–6,295 networks")))</x:f>
        <x:v>2,342–2,489 networks</x:v>
      </x:c>
      <x:c r="K64" s="12" t="n">
        <x:f>IF(OR(H64&lt;6,H64&gt;=22),1,0)</x:f>
        <x:v>0</x:v>
      </x:c>
      <x:c r="L64" s="12" t="n">
        <x:f>IF(COUNTIF($A$2:$A$186,A64)&gt;1,1,0)</x:f>
        <x:v>0</x:v>
      </x:c>
      <x:c r="M64" s="12" t="n">
        <x:f>IF(OR(I64="Saturday",I64="Sunday"),1,0)</x:f>
        <x:v>0</x:v>
      </x:c>
      <x:c r="N64" s="23" t="n">
        <x:v>4715.133</x:v>
      </x:c>
      <x:c r="O64" s="16" t="n">
        <x:f>IF(AND(N64&lt;&gt;"",N64&lt;=60),1,0)</x:f>
        <x:v>0</x:v>
      </x:c>
    </x:row>
    <x:row r="65">
      <x:c r="A65" s="11" t="str">
        <x:v>bd471e25-c6f6-4ce9-a556-b661e5cc001e</x:v>
      </x:c>
      <x:c r="B65" s="12" t="str">
        <x:v>***</x:v>
      </x:c>
      <x:c r="C65" s="13" t="str">
        <x:v>UTC 2026-07-21T00:45:39.397Z</x:v>
      </x:c>
      <x:c r="D65" s="14" t="n">
        <x:v>134</x:v>
      </x:c>
      <x:c r="E65" s="12" t="str">
        <x:v>Investigation</x:v>
      </x:c>
      <x:c r="F65" s="12" t="str">
        <x:v>2026-07-20 19:45:39 CDT</x:v>
      </x:c>
      <x:c r="G65" s="12" t="str">
        <x:v>2026-07-20</x:v>
      </x:c>
      <x:c r="H65" s="15" t="n">
        <x:v>19</x:v>
      </x:c>
      <x:c r="I65" s="12" t="str">
        <x:v>Monday</x:v>
      </x:c>
      <x:c r="J65" s="12" t="str">
        <x:f>IF(D65=1,"1 network",IF(D65&lt;=135,"133–135 networks",IF(D65&lt;6000,"2,342–2,489 networks","6,248–6,295 networks")))</x:f>
        <x:v>133–135 networks</x:v>
      </x:c>
      <x:c r="K65" s="12" t="n">
        <x:f>IF(OR(H65&lt;6,H65&gt;=22),1,0)</x:f>
        <x:v>0</x:v>
      </x:c>
      <x:c r="L65" s="12" t="n">
        <x:f>IF(COUNTIF($A$2:$A$186,A65)&gt;1,1,0)</x:f>
        <x:v>0</x:v>
      </x:c>
      <x:c r="M65" s="12" t="n">
        <x:f>IF(OR(I65="Saturday",I65="Sunday"),1,0)</x:f>
        <x:v>0</x:v>
      </x:c>
      <x:c r="N65" s="23" t="n">
        <x:v>15236.667</x:v>
      </x:c>
      <x:c r="O65" s="16" t="n">
        <x:f>IF(AND(N65&lt;&gt;"",N65&lt;=60),1,0)</x:f>
        <x:v>0</x:v>
      </x:c>
    </x:row>
    <x:row r="66">
      <x:c r="A66" s="11" t="str">
        <x:v>edb0e69e-052b-44ed-9352-2d71b8e8564e</x:v>
      </x:c>
      <x:c r="B66" s="12" t="str">
        <x:v>***</x:v>
      </x:c>
      <x:c r="C66" s="13" t="str">
        <x:v>UTC 2026-07-21T01:13:00.958Z</x:v>
      </x:c>
      <x:c r="D66" s="14" t="n">
        <x:v>134</x:v>
      </x:c>
      <x:c r="E66" s="12" t="str">
        <x:v>Investigation</x:v>
      </x:c>
      <x:c r="F66" s="12" t="str">
        <x:v>2026-07-20 20:13:00 CDT</x:v>
      </x:c>
      <x:c r="G66" s="12" t="str">
        <x:v>2026-07-20</x:v>
      </x:c>
      <x:c r="H66" s="15" t="n">
        <x:v>20</x:v>
      </x:c>
      <x:c r="I66" s="12" t="str">
        <x:v>Monday</x:v>
      </x:c>
      <x:c r="J66" s="12" t="str">
        <x:f>IF(D66=1,"1 network",IF(D66&lt;=135,"133–135 networks",IF(D66&lt;6000,"2,342–2,489 networks","6,248–6,295 networks")))</x:f>
        <x:v>133–135 networks</x:v>
      </x:c>
      <x:c r="K66" s="12" t="n">
        <x:f>IF(OR(H66&lt;6,H66&gt;=22),1,0)</x:f>
        <x:v>0</x:v>
      </x:c>
      <x:c r="L66" s="12" t="n">
        <x:f>IF(COUNTIF($A$2:$A$186,A66)&gt;1,1,0)</x:f>
        <x:v>0</x:v>
      </x:c>
      <x:c r="M66" s="12" t="n">
        <x:f>IF(OR(I66="Saturday",I66="Sunday"),1,0)</x:f>
        <x:v>0</x:v>
      </x:c>
      <x:c r="N66" s="23" t="n">
        <x:v>1641.561</x:v>
      </x:c>
      <x:c r="O66" s="16" t="n">
        <x:f>IF(AND(N66&lt;&gt;"",N66&lt;=60),1,0)</x:f>
        <x:v>0</x:v>
      </x:c>
    </x:row>
    <x:row r="67">
      <x:c r="A67" s="11" t="str">
        <x:v>a554c9ac-7c25-487b-888c-3630f060f0a2</x:v>
      </x:c>
      <x:c r="B67" s="12" t="str">
        <x:v>***</x:v>
      </x:c>
      <x:c r="C67" s="13" t="str">
        <x:v>UTC 2026-07-21T02:23:05.005Z</x:v>
      </x:c>
      <x:c r="D67" s="14" t="n">
        <x:v>134</x:v>
      </x:c>
      <x:c r="E67" s="12" t="str">
        <x:v>Investigation</x:v>
      </x:c>
      <x:c r="F67" s="12" t="str">
        <x:v>2026-07-20 21:23:05 CDT</x:v>
      </x:c>
      <x:c r="G67" s="12" t="str">
        <x:v>2026-07-20</x:v>
      </x:c>
      <x:c r="H67" s="15" t="n">
        <x:v>21</x:v>
      </x:c>
      <x:c r="I67" s="12" t="str">
        <x:v>Monday</x:v>
      </x:c>
      <x:c r="J67" s="12" t="str">
        <x:f>IF(D67=1,"1 network",IF(D67&lt;=135,"133–135 networks",IF(D67&lt;6000,"2,342–2,489 networks","6,248–6,295 networks")))</x:f>
        <x:v>133–135 networks</x:v>
      </x:c>
      <x:c r="K67" s="12" t="n">
        <x:f>IF(OR(H67&lt;6,H67&gt;=22),1,0)</x:f>
        <x:v>0</x:v>
      </x:c>
      <x:c r="L67" s="12" t="n">
        <x:f>IF(COUNTIF($A$2:$A$186,A67)&gt;1,1,0)</x:f>
        <x:v>0</x:v>
      </x:c>
      <x:c r="M67" s="12" t="n">
        <x:f>IF(OR(I67="Saturday",I67="Sunday"),1,0)</x:f>
        <x:v>0</x:v>
      </x:c>
      <x:c r="N67" s="23" t="n">
        <x:v>4204.047</x:v>
      </x:c>
      <x:c r="O67" s="16" t="n">
        <x:f>IF(AND(N67&lt;&gt;"",N67&lt;=60),1,0)</x:f>
        <x:v>0</x:v>
      </x:c>
    </x:row>
    <x:row r="68">
      <x:c r="A68" s="11" t="str">
        <x:v>2d3206f6-1b7c-4160-a9bf-a11f3794eb8a</x:v>
      </x:c>
      <x:c r="B68" s="12" t="str">
        <x:v>***</x:v>
      </x:c>
      <x:c r="C68" s="13" t="str">
        <x:v>UTC 2026-07-21T03:51:51.745Z</x:v>
      </x:c>
      <x:c r="D68" s="14" t="n">
        <x:v>134</x:v>
      </x:c>
      <x:c r="E68" s="12" t="str">
        <x:v>Investigation</x:v>
      </x:c>
      <x:c r="F68" s="12" t="str">
        <x:v>2026-07-20 22:51:51 CDT</x:v>
      </x:c>
      <x:c r="G68" s="12" t="str">
        <x:v>2026-07-20</x:v>
      </x:c>
      <x:c r="H68" s="15" t="n">
        <x:v>22</x:v>
      </x:c>
      <x:c r="I68" s="12" t="str">
        <x:v>Monday</x:v>
      </x:c>
      <x:c r="J68" s="12" t="str">
        <x:f>IF(D68=1,"1 network",IF(D68&lt;=135,"133–135 networks",IF(D68&lt;6000,"2,342–2,489 networks","6,248–6,295 networks")))</x:f>
        <x:v>133–135 networks</x:v>
      </x:c>
      <x:c r="K68" s="12" t="n">
        <x:f>IF(OR(H68&lt;6,H68&gt;=22),1,0)</x:f>
        <x:v>1</x:v>
      </x:c>
      <x:c r="L68" s="12" t="n">
        <x:f>IF(COUNTIF($A$2:$A$186,A68)&gt;1,1,0)</x:f>
        <x:v>0</x:v>
      </x:c>
      <x:c r="M68" s="12" t="n">
        <x:f>IF(OR(I68="Saturday",I68="Sunday"),1,0)</x:f>
        <x:v>0</x:v>
      </x:c>
      <x:c r="N68" s="23" t="n">
        <x:v>5326.74</x:v>
      </x:c>
      <x:c r="O68" s="16" t="n">
        <x:f>IF(AND(N68&lt;&gt;"",N68&lt;=60),1,0)</x:f>
        <x:v>0</x:v>
      </x:c>
    </x:row>
    <x:row r="69">
      <x:c r="A69" s="11" t="str">
        <x:v>647f92f2-349a-4109-be3e-eefa71cf19bf</x:v>
      </x:c>
      <x:c r="B69" s="12" t="str">
        <x:v>***</x:v>
      </x:c>
      <x:c r="C69" s="13" t="str">
        <x:v>UTC 2026-07-21T06:55:09.013Z</x:v>
      </x:c>
      <x:c r="D69" s="14" t="n">
        <x:v>134</x:v>
      </x:c>
      <x:c r="E69" s="12" t="str">
        <x:v>Investigation</x:v>
      </x:c>
      <x:c r="F69" s="12" t="str">
        <x:v>2026-07-21 01:55:09 CDT</x:v>
      </x:c>
      <x:c r="G69" s="12" t="str">
        <x:v>2026-07-21</x:v>
      </x:c>
      <x:c r="H69" s="15" t="n">
        <x:v>1</x:v>
      </x:c>
      <x:c r="I69" s="12" t="str">
        <x:v>Tuesday</x:v>
      </x:c>
      <x:c r="J69" s="12" t="str">
        <x:f>IF(D69=1,"1 network",IF(D69&lt;=135,"133–135 networks",IF(D69&lt;6000,"2,342–2,489 networks","6,248–6,295 networks")))</x:f>
        <x:v>133–135 networks</x:v>
      </x:c>
      <x:c r="K69" s="12" t="n">
        <x:f>IF(OR(H69&lt;6,H69&gt;=22),1,0)</x:f>
        <x:v>1</x:v>
      </x:c>
      <x:c r="L69" s="12" t="n">
        <x:f>IF(COUNTIF($A$2:$A$186,A69)&gt;1,1,0)</x:f>
        <x:v>0</x:v>
      </x:c>
      <x:c r="M69" s="12" t="n">
        <x:f>IF(OR(I69="Saturday",I69="Sunday"),1,0)</x:f>
        <x:v>0</x:v>
      </x:c>
      <x:c r="N69" s="23" t="n">
        <x:v>10997.268</x:v>
      </x:c>
      <x:c r="O69" s="16" t="n">
        <x:f>IF(AND(N69&lt;&gt;"",N69&lt;=60),1,0)</x:f>
        <x:v>0</x:v>
      </x:c>
    </x:row>
    <x:row r="70">
      <x:c r="A70" s="11" t="str">
        <x:v>4fd946f3-7fa2-484a-bf8c-8dd3ffee0643</x:v>
      </x:c>
      <x:c r="B70" s="12" t="str">
        <x:v>***</x:v>
      </x:c>
      <x:c r="C70" s="13" t="str">
        <x:v>UTC 2026-07-21T16:33:27.647Z</x:v>
      </x:c>
      <x:c r="D70" s="14" t="n">
        <x:v>2473</x:v>
      </x:c>
      <x:c r="E70" s="12" t="str">
        <x:v>Investigation</x:v>
      </x:c>
      <x:c r="F70" s="12" t="str">
        <x:v>2026-07-21 11:33:27 CDT</x:v>
      </x:c>
      <x:c r="G70" s="12" t="str">
        <x:v>2026-07-21</x:v>
      </x:c>
      <x:c r="H70" s="15" t="n">
        <x:v>11</x:v>
      </x:c>
      <x:c r="I70" s="12" t="str">
        <x:v>Tuesday</x:v>
      </x:c>
      <x:c r="J70" s="12" t="str">
        <x:f>IF(D70=1,"1 network",IF(D70&lt;=135,"133–135 networks",IF(D70&lt;6000,"2,342–2,489 networks","6,248–6,295 networks")))</x:f>
        <x:v>2,342–2,489 networks</x:v>
      </x:c>
      <x:c r="K70" s="12" t="n">
        <x:f>IF(OR(H70&lt;6,H70&gt;=22),1,0)</x:f>
        <x:v>0</x:v>
      </x:c>
      <x:c r="L70" s="12" t="n">
        <x:f>IF(COUNTIF($A$2:$A$186,A70)&gt;1,1,0)</x:f>
        <x:v>0</x:v>
      </x:c>
      <x:c r="M70" s="12" t="n">
        <x:f>IF(OR(I70="Saturday",I70="Sunday"),1,0)</x:f>
        <x:v>0</x:v>
      </x:c>
      <x:c r="N70" s="23" t="n">
        <x:v>34698.634</x:v>
      </x:c>
      <x:c r="O70" s="16" t="n">
        <x:f>IF(AND(N70&lt;&gt;"",N70&lt;=60),1,0)</x:f>
        <x:v>0</x:v>
      </x:c>
    </x:row>
    <x:row r="71">
      <x:c r="A71" s="11" t="str">
        <x:v>7013a196-95ac-4199-9b40-49eb3746377a</x:v>
      </x:c>
      <x:c r="B71" s="12" t="str">
        <x:v>***</x:v>
      </x:c>
      <x:c r="C71" s="13" t="str">
        <x:v>UTC 2026-07-21T19:29:25.424Z</x:v>
      </x:c>
      <x:c r="D71" s="14" t="n">
        <x:v>134</x:v>
      </x:c>
      <x:c r="E71" s="12" t="str">
        <x:v>Investigation</x:v>
      </x:c>
      <x:c r="F71" s="12" t="str">
        <x:v>2026-07-21 14:29:25 CDT</x:v>
      </x:c>
      <x:c r="G71" s="12" t="str">
        <x:v>2026-07-21</x:v>
      </x:c>
      <x:c r="H71" s="15" t="n">
        <x:v>14</x:v>
      </x:c>
      <x:c r="I71" s="12" t="str">
        <x:v>Tuesday</x:v>
      </x:c>
      <x:c r="J71" s="12" t="str">
        <x:f>IF(D71=1,"1 network",IF(D71&lt;=135,"133–135 networks",IF(D71&lt;6000,"2,342–2,489 networks","6,248–6,295 networks")))</x:f>
        <x:v>133–135 networks</x:v>
      </x:c>
      <x:c r="K71" s="12" t="n">
        <x:f>IF(OR(H71&lt;6,H71&gt;=22),1,0)</x:f>
        <x:v>0</x:v>
      </x:c>
      <x:c r="L71" s="12" t="n">
        <x:f>IF(COUNTIF($A$2:$A$186,A71)&gt;1,1,0)</x:f>
        <x:v>0</x:v>
      </x:c>
      <x:c r="M71" s="12" t="n">
        <x:f>IF(OR(I71="Saturday",I71="Sunday"),1,0)</x:f>
        <x:v>0</x:v>
      </x:c>
      <x:c r="N71" s="23" t="n">
        <x:v>10557.777</x:v>
      </x:c>
      <x:c r="O71" s="16" t="n">
        <x:f>IF(AND(N71&lt;&gt;"",N71&lt;=60),1,0)</x:f>
        <x:v>0</x:v>
      </x:c>
    </x:row>
    <x:row r="72">
      <x:c r="A72" s="11" t="str">
        <x:v>a8e7b77b-9410-4dac-8816-7e5ce475fec3</x:v>
      </x:c>
      <x:c r="B72" s="12" t="str">
        <x:v>***</x:v>
      </x:c>
      <x:c r="C72" s="13" t="str">
        <x:v>UTC 2026-07-21T20:02:53.986Z</x:v>
      </x:c>
      <x:c r="D72" s="14" t="n">
        <x:v>134</x:v>
      </x:c>
      <x:c r="E72" s="12" t="str">
        <x:v>Investigation</x:v>
      </x:c>
      <x:c r="F72" s="12" t="str">
        <x:v>2026-07-21 15:02:53 CDT</x:v>
      </x:c>
      <x:c r="G72" s="12" t="str">
        <x:v>2026-07-21</x:v>
      </x:c>
      <x:c r="H72" s="15" t="n">
        <x:v>15</x:v>
      </x:c>
      <x:c r="I72" s="12" t="str">
        <x:v>Tuesday</x:v>
      </x:c>
      <x:c r="J72" s="12" t="str">
        <x:f>IF(D72=1,"1 network",IF(D72&lt;=135,"133–135 networks",IF(D72&lt;6000,"2,342–2,489 networks","6,248–6,295 networks")))</x:f>
        <x:v>133–135 networks</x:v>
      </x:c>
      <x:c r="K72" s="12" t="n">
        <x:f>IF(OR(H72&lt;6,H72&gt;=22),1,0)</x:f>
        <x:v>0</x:v>
      </x:c>
      <x:c r="L72" s="12" t="n">
        <x:f>IF(COUNTIF($A$2:$A$186,A72)&gt;1,1,0)</x:f>
        <x:v>0</x:v>
      </x:c>
      <x:c r="M72" s="12" t="n">
        <x:f>IF(OR(I72="Saturday",I72="Sunday"),1,0)</x:f>
        <x:v>0</x:v>
      </x:c>
      <x:c r="N72" s="23" t="n">
        <x:v>2008.562</x:v>
      </x:c>
      <x:c r="O72" s="16" t="n">
        <x:f>IF(AND(N72&lt;&gt;"",N72&lt;=60),1,0)</x:f>
        <x:v>0</x:v>
      </x:c>
    </x:row>
    <x:row r="73">
      <x:c r="A73" s="11" t="str">
        <x:v>6d787467-0c04-427c-badc-5e8f84444411</x:v>
      </x:c>
      <x:c r="B73" s="12" t="str">
        <x:v>***</x:v>
      </x:c>
      <x:c r="C73" s="13" t="str">
        <x:v>UTC 2026-07-22T01:20:53.198Z</x:v>
      </x:c>
      <x:c r="D73" s="14" t="n">
        <x:v>1</x:v>
      </x:c>
      <x:c r="E73" s="12" t="str">
        <x:v>Investigation</x:v>
      </x:c>
      <x:c r="F73" s="12" t="str">
        <x:v>2026-07-21 20:20:53 CDT</x:v>
      </x:c>
      <x:c r="G73" s="12" t="str">
        <x:v>2026-07-21</x:v>
      </x:c>
      <x:c r="H73" s="15" t="n">
        <x:v>20</x:v>
      </x:c>
      <x:c r="I73" s="12" t="str">
        <x:v>Tuesday</x:v>
      </x:c>
      <x:c r="J73" s="12" t="str">
        <x:f>IF(D73=1,"1 network",IF(D73&lt;=135,"133–135 networks",IF(D73&lt;6000,"2,342–2,489 networks","6,248–6,295 networks")))</x:f>
        <x:v>1 network</x:v>
      </x:c>
      <x:c r="K73" s="12" t="n">
        <x:f>IF(OR(H73&lt;6,H73&gt;=22),1,0)</x:f>
        <x:v>0</x:v>
      </x:c>
      <x:c r="L73" s="12" t="n">
        <x:f>IF(COUNTIF($A$2:$A$186,A73)&gt;1,1,0)</x:f>
        <x:v>0</x:v>
      </x:c>
      <x:c r="M73" s="12" t="n">
        <x:f>IF(OR(I73="Saturday",I73="Sunday"),1,0)</x:f>
        <x:v>0</x:v>
      </x:c>
      <x:c r="N73" s="23" t="n">
        <x:v>19079.212</x:v>
      </x:c>
      <x:c r="O73" s="16" t="n">
        <x:f>IF(AND(N73&lt;&gt;"",N73&lt;=60),1,0)</x:f>
        <x:v>0</x:v>
      </x:c>
    </x:row>
    <x:row r="74">
      <x:c r="A74" s="11" t="str">
        <x:v>b07bb9ff-0256-4a9d-b99a-73aa8661407e</x:v>
      </x:c>
      <x:c r="B74" s="12" t="str">
        <x:v>***</x:v>
      </x:c>
      <x:c r="C74" s="13" t="str">
        <x:v>UTC 2026-07-22T03:11:01.038Z</x:v>
      </x:c>
      <x:c r="D74" s="14" t="n">
        <x:v>134</x:v>
      </x:c>
      <x:c r="E74" s="12" t="str">
        <x:v>Investigation</x:v>
      </x:c>
      <x:c r="F74" s="12" t="str">
        <x:v>2026-07-21 22:11:01 CDT</x:v>
      </x:c>
      <x:c r="G74" s="12" t="str">
        <x:v>2026-07-21</x:v>
      </x:c>
      <x:c r="H74" s="15" t="n">
        <x:v>22</x:v>
      </x:c>
      <x:c r="I74" s="12" t="str">
        <x:v>Tuesday</x:v>
      </x:c>
      <x:c r="J74" s="12" t="str">
        <x:f>IF(D74=1,"1 network",IF(D74&lt;=135,"133–135 networks",IF(D74&lt;6000,"2,342–2,489 networks","6,248–6,295 networks")))</x:f>
        <x:v>133–135 networks</x:v>
      </x:c>
      <x:c r="K74" s="12" t="n">
        <x:f>IF(OR(H74&lt;6,H74&gt;=22),1,0)</x:f>
        <x:v>1</x:v>
      </x:c>
      <x:c r="L74" s="12" t="n">
        <x:f>IF(COUNTIF($A$2:$A$186,A74)&gt;1,1,0)</x:f>
        <x:v>0</x:v>
      </x:c>
      <x:c r="M74" s="12" t="n">
        <x:f>IF(OR(I74="Saturday",I74="Sunday"),1,0)</x:f>
        <x:v>0</x:v>
      </x:c>
      <x:c r="N74" s="23" t="n">
        <x:v>6607.84</x:v>
      </x:c>
      <x:c r="O74" s="16" t="n">
        <x:f>IF(AND(N74&lt;&gt;"",N74&lt;=60),1,0)</x:f>
        <x:v>0</x:v>
      </x:c>
    </x:row>
    <x:row r="75">
      <x:c r="A75" s="11" t="str">
        <x:v>5aa2f686-e399-4ef8-bacf-95b7b9776a39</x:v>
      </x:c>
      <x:c r="B75" s="12" t="str">
        <x:v>***</x:v>
      </x:c>
      <x:c r="C75" s="13" t="str">
        <x:v>UTC 2026-07-22T04:18:29.079Z</x:v>
      </x:c>
      <x:c r="D75" s="14" t="n">
        <x:v>134</x:v>
      </x:c>
      <x:c r="E75" s="12" t="str">
        <x:v>Investigation</x:v>
      </x:c>
      <x:c r="F75" s="12" t="str">
        <x:v>2026-07-21 23:18:29 CDT</x:v>
      </x:c>
      <x:c r="G75" s="12" t="str">
        <x:v>2026-07-21</x:v>
      </x:c>
      <x:c r="H75" s="15" t="n">
        <x:v>23</x:v>
      </x:c>
      <x:c r="I75" s="12" t="str">
        <x:v>Tuesday</x:v>
      </x:c>
      <x:c r="J75" s="12" t="str">
        <x:f>IF(D75=1,"1 network",IF(D75&lt;=135,"133–135 networks",IF(D75&lt;6000,"2,342–2,489 networks","6,248–6,295 networks")))</x:f>
        <x:v>133–135 networks</x:v>
      </x:c>
      <x:c r="K75" s="12" t="n">
        <x:f>IF(OR(H75&lt;6,H75&gt;=22),1,0)</x:f>
        <x:v>1</x:v>
      </x:c>
      <x:c r="L75" s="12" t="n">
        <x:f>IF(COUNTIF($A$2:$A$186,A75)&gt;1,1,0)</x:f>
        <x:v>0</x:v>
      </x:c>
      <x:c r="M75" s="12" t="n">
        <x:f>IF(OR(I75="Saturday",I75="Sunday"),1,0)</x:f>
        <x:v>0</x:v>
      </x:c>
      <x:c r="N75" s="23" t="n">
        <x:v>4048.041</x:v>
      </x:c>
      <x:c r="O75" s="16" t="n">
        <x:f>IF(AND(N75&lt;&gt;"",N75&lt;=60),1,0)</x:f>
        <x:v>0</x:v>
      </x:c>
    </x:row>
    <x:row r="76">
      <x:c r="A76" s="11" t="str">
        <x:v>c147de96-9581-4055-b3b7-74bba4baae93</x:v>
      </x:c>
      <x:c r="B76" s="12" t="str">
        <x:v>***</x:v>
      </x:c>
      <x:c r="C76" s="13" t="str">
        <x:v>UTC 2026-07-22T11:59:41.104Z</x:v>
      </x:c>
      <x:c r="D76" s="14" t="n">
        <x:v>134</x:v>
      </x:c>
      <x:c r="E76" s="12" t="str">
        <x:v>Investigation</x:v>
      </x:c>
      <x:c r="F76" s="12" t="str">
        <x:v>2026-07-22 06:59:41 CDT</x:v>
      </x:c>
      <x:c r="G76" s="12" t="str">
        <x:v>2026-07-22</x:v>
      </x:c>
      <x:c r="H76" s="15" t="n">
        <x:v>6</x:v>
      </x:c>
      <x:c r="I76" s="12" t="str">
        <x:v>Wednesday</x:v>
      </x:c>
      <x:c r="J76" s="12" t="str">
        <x:f>IF(D76=1,"1 network",IF(D76&lt;=135,"133–135 networks",IF(D76&lt;6000,"2,342–2,489 networks","6,248–6,295 networks")))</x:f>
        <x:v>133–135 networks</x:v>
      </x:c>
      <x:c r="K76" s="12" t="n">
        <x:f>IF(OR(H76&lt;6,H76&gt;=22),1,0)</x:f>
        <x:v>0</x:v>
      </x:c>
      <x:c r="L76" s="12" t="n">
        <x:f>IF(COUNTIF($A$2:$A$186,A76)&gt;1,1,0)</x:f>
        <x:v>0</x:v>
      </x:c>
      <x:c r="M76" s="12" t="n">
        <x:f>IF(OR(I76="Saturday",I76="Sunday"),1,0)</x:f>
        <x:v>0</x:v>
      </x:c>
      <x:c r="N76" s="23" t="n">
        <x:v>27672.025</x:v>
      </x:c>
      <x:c r="O76" s="16" t="n">
        <x:f>IF(AND(N76&lt;&gt;"",N76&lt;=60),1,0)</x:f>
        <x:v>0</x:v>
      </x:c>
    </x:row>
    <x:row r="77">
      <x:c r="A77" s="11" t="str">
        <x:v>2c06c396-0bd6-41ee-b78b-ff87ea6b8c74</x:v>
      </x:c>
      <x:c r="B77" s="12" t="str">
        <x:v>***</x:v>
      </x:c>
      <x:c r="C77" s="13" t="str">
        <x:v>UTC 2026-07-22T12:00:14.395Z</x:v>
      </x:c>
      <x:c r="D77" s="14" t="n">
        <x:v>134</x:v>
      </x:c>
      <x:c r="E77" s="12" t="str">
        <x:v>Investigation</x:v>
      </x:c>
      <x:c r="F77" s="12" t="str">
        <x:v>2026-07-22 07:00:14 CDT</x:v>
      </x:c>
      <x:c r="G77" s="12" t="str">
        <x:v>2026-07-22</x:v>
      </x:c>
      <x:c r="H77" s="15" t="n">
        <x:v>7</x:v>
      </x:c>
      <x:c r="I77" s="12" t="str">
        <x:v>Wednesday</x:v>
      </x:c>
      <x:c r="J77" s="12" t="str">
        <x:f>IF(D77=1,"1 network",IF(D77&lt;=135,"133–135 networks",IF(D77&lt;6000,"2,342–2,489 networks","6,248–6,295 networks")))</x:f>
        <x:v>133–135 networks</x:v>
      </x:c>
      <x:c r="K77" s="12" t="n">
        <x:f>IF(OR(H77&lt;6,H77&gt;=22),1,0)</x:f>
        <x:v>0</x:v>
      </x:c>
      <x:c r="L77" s="12" t="n">
        <x:f>IF(COUNTIF($A$2:$A$186,A77)&gt;1,1,0)</x:f>
        <x:v>0</x:v>
      </x:c>
      <x:c r="M77" s="12" t="n">
        <x:f>IF(OR(I77="Saturday",I77="Sunday"),1,0)</x:f>
        <x:v>0</x:v>
      </x:c>
      <x:c r="N77" s="23" t="n">
        <x:v>33.291</x:v>
      </x:c>
      <x:c r="O77" s="16" t="n">
        <x:f>IF(AND(N77&lt;&gt;"",N77&lt;=60),1,0)</x:f>
        <x:v>1</x:v>
      </x:c>
    </x:row>
    <x:row r="78">
      <x:c r="A78" s="11" t="str">
        <x:v>742f6aae-47f6-4761-91aa-3133aaf0da53</x:v>
      </x:c>
      <x:c r="B78" s="12" t="str">
        <x:v>***</x:v>
      </x:c>
      <x:c r="C78" s="13" t="str">
        <x:v>UTC 2026-07-22T18:10:39.513Z</x:v>
      </x:c>
      <x:c r="D78" s="14" t="n">
        <x:v>2471</x:v>
      </x:c>
      <x:c r="E78" s="12" t="str">
        <x:v>Investigation</x:v>
      </x:c>
      <x:c r="F78" s="12" t="str">
        <x:v>2026-07-22 13:10:39 CDT</x:v>
      </x:c>
      <x:c r="G78" s="12" t="str">
        <x:v>2026-07-22</x:v>
      </x:c>
      <x:c r="H78" s="15" t="n">
        <x:v>13</x:v>
      </x:c>
      <x:c r="I78" s="12" t="str">
        <x:v>Wednesday</x:v>
      </x:c>
      <x:c r="J78" s="12" t="str">
        <x:f>IF(D78=1,"1 network",IF(D78&lt;=135,"133–135 networks",IF(D78&lt;6000,"2,342–2,489 networks","6,248–6,295 networks")))</x:f>
        <x:v>2,342–2,489 networks</x:v>
      </x:c>
      <x:c r="K78" s="12" t="n">
        <x:f>IF(OR(H78&lt;6,H78&gt;=22),1,0)</x:f>
        <x:v>0</x:v>
      </x:c>
      <x:c r="L78" s="12" t="n">
        <x:f>IF(COUNTIF($A$2:$A$186,A78)&gt;1,1,0)</x:f>
        <x:v>0</x:v>
      </x:c>
      <x:c r="M78" s="12" t="n">
        <x:f>IF(OR(I78="Saturday",I78="Sunday"),1,0)</x:f>
        <x:v>0</x:v>
      </x:c>
      <x:c r="N78" s="23" t="n">
        <x:v>22225.118</x:v>
      </x:c>
      <x:c r="O78" s="16" t="n">
        <x:f>IF(AND(N78&lt;&gt;"",N78&lt;=60),1,0)</x:f>
        <x:v>0</x:v>
      </x:c>
    </x:row>
    <x:row r="79">
      <x:c r="A79" s="11" t="str">
        <x:v>13db4088-e467-4b50-ba72-560d7e92a930</x:v>
      </x:c>
      <x:c r="B79" s="12" t="str">
        <x:v>***</x:v>
      </x:c>
      <x:c r="C79" s="13" t="str">
        <x:v>UTC 2026-07-22T20:20:22.035Z</x:v>
      </x:c>
      <x:c r="D79" s="14" t="n">
        <x:v>1</x:v>
      </x:c>
      <x:c r="E79" s="12" t="str">
        <x:v>Investigation</x:v>
      </x:c>
      <x:c r="F79" s="12" t="str">
        <x:v>2026-07-22 15:20:22 CDT</x:v>
      </x:c>
      <x:c r="G79" s="12" t="str">
        <x:v>2026-07-22</x:v>
      </x:c>
      <x:c r="H79" s="15" t="n">
        <x:v>15</x:v>
      </x:c>
      <x:c r="I79" s="12" t="str">
        <x:v>Wednesday</x:v>
      </x:c>
      <x:c r="J79" s="12" t="str">
        <x:f>IF(D79=1,"1 network",IF(D79&lt;=135,"133–135 networks",IF(D79&lt;6000,"2,342–2,489 networks","6,248–6,295 networks")))</x:f>
        <x:v>1 network</x:v>
      </x:c>
      <x:c r="K79" s="12" t="n">
        <x:f>IF(OR(H79&lt;6,H79&gt;=22),1,0)</x:f>
        <x:v>0</x:v>
      </x:c>
      <x:c r="L79" s="12" t="n">
        <x:f>IF(COUNTIF($A$2:$A$186,A79)&gt;1,1,0)</x:f>
        <x:v>0</x:v>
      </x:c>
      <x:c r="M79" s="12" t="n">
        <x:f>IF(OR(I79="Saturday",I79="Sunday"),1,0)</x:f>
        <x:v>0</x:v>
      </x:c>
      <x:c r="N79" s="23" t="n">
        <x:v>7782.522</x:v>
      </x:c>
      <x:c r="O79" s="16" t="n">
        <x:f>IF(AND(N79&lt;&gt;"",N79&lt;=60),1,0)</x:f>
        <x:v>0</x:v>
      </x:c>
    </x:row>
    <x:row r="80">
      <x:c r="A80" s="11" t="str">
        <x:v>38a1f867-a21c-4862-bcdc-1459a9a11e87</x:v>
      </x:c>
      <x:c r="B80" s="12" t="str">
        <x:v>***</x:v>
      </x:c>
      <x:c r="C80" s="13" t="str">
        <x:v>UTC 2026-07-22T20:34:22.226Z</x:v>
      </x:c>
      <x:c r="D80" s="14" t="n">
        <x:v>6295</x:v>
      </x:c>
      <x:c r="E80" s="12" t="str">
        <x:v>Investigation</x:v>
      </x:c>
      <x:c r="F80" s="12" t="str">
        <x:v>2026-07-22 15:34:22 CDT</x:v>
      </x:c>
      <x:c r="G80" s="12" t="str">
        <x:v>2026-07-22</x:v>
      </x:c>
      <x:c r="H80" s="15" t="n">
        <x:v>15</x:v>
      </x:c>
      <x:c r="I80" s="12" t="str">
        <x:v>Wednesday</x:v>
      </x:c>
      <x:c r="J80" s="12" t="str">
        <x:f>IF(D80=1,"1 network",IF(D80&lt;=135,"133–135 networks",IF(D80&lt;6000,"2,342–2,489 networks","6,248–6,295 networks")))</x:f>
        <x:v>6,248–6,295 networks</x:v>
      </x:c>
      <x:c r="K80" s="12" t="n">
        <x:f>IF(OR(H80&lt;6,H80&gt;=22),1,0)</x:f>
        <x:v>0</x:v>
      </x:c>
      <x:c r="L80" s="12" t="n">
        <x:f>IF(COUNTIF($A$2:$A$186,A80)&gt;1,1,0)</x:f>
        <x:v>0</x:v>
      </x:c>
      <x:c r="M80" s="12" t="n">
        <x:f>IF(OR(I80="Saturday",I80="Sunday"),1,0)</x:f>
        <x:v>0</x:v>
      </x:c>
      <x:c r="N80" s="23" t="n">
        <x:v>840.191</x:v>
      </x:c>
      <x:c r="O80" s="16" t="n">
        <x:f>IF(AND(N80&lt;&gt;"",N80&lt;=60),1,0)</x:f>
        <x:v>0</x:v>
      </x:c>
    </x:row>
    <x:row r="81">
      <x:c r="A81" s="11" t="str">
        <x:v>9dcb9712-a402-4978-9878-384f1f176c59</x:v>
      </x:c>
      <x:c r="B81" s="12" t="str">
        <x:v>***</x:v>
      </x:c>
      <x:c r="C81" s="13" t="str">
        <x:v>UTC 2026-07-22T20:40:35.297Z</x:v>
      </x:c>
      <x:c r="D81" s="14" t="n">
        <x:v>2470</x:v>
      </x:c>
      <x:c r="E81" s="12" t="str">
        <x:v>Investigation</x:v>
      </x:c>
      <x:c r="F81" s="12" t="str">
        <x:v>2026-07-22 15:40:35 CDT</x:v>
      </x:c>
      <x:c r="G81" s="12" t="str">
        <x:v>2026-07-22</x:v>
      </x:c>
      <x:c r="H81" s="15" t="n">
        <x:v>15</x:v>
      </x:c>
      <x:c r="I81" s="12" t="str">
        <x:v>Wednesday</x:v>
      </x:c>
      <x:c r="J81" s="12" t="str">
        <x:f>IF(D81=1,"1 network",IF(D81&lt;=135,"133–135 networks",IF(D81&lt;6000,"2,342–2,489 networks","6,248–6,295 networks")))</x:f>
        <x:v>2,342–2,489 networks</x:v>
      </x:c>
      <x:c r="K81" s="12" t="n">
        <x:f>IF(OR(H81&lt;6,H81&gt;=22),1,0)</x:f>
        <x:v>0</x:v>
      </x:c>
      <x:c r="L81" s="12" t="n">
        <x:f>IF(COUNTIF($A$2:$A$186,A81)&gt;1,1,0)</x:f>
        <x:v>0</x:v>
      </x:c>
      <x:c r="M81" s="12" t="n">
        <x:f>IF(OR(I81="Saturday",I81="Sunday"),1,0)</x:f>
        <x:v>0</x:v>
      </x:c>
      <x:c r="N81" s="23" t="n">
        <x:v>373.071</x:v>
      </x:c>
      <x:c r="O81" s="16" t="n">
        <x:f>IF(AND(N81&lt;&gt;"",N81&lt;=60),1,0)</x:f>
        <x:v>0</x:v>
      </x:c>
    </x:row>
    <x:row r="82">
      <x:c r="A82" s="11" t="str">
        <x:v>49710bb1-3622-4c23-ad0f-db8da4e61a98</x:v>
      </x:c>
      <x:c r="B82" s="12" t="str">
        <x:v>***</x:v>
      </x:c>
      <x:c r="C82" s="13" t="str">
        <x:v>UTC 2026-07-22T21:21:50.370Z</x:v>
      </x:c>
      <x:c r="D82" s="14" t="n">
        <x:v>1</x:v>
      </x:c>
      <x:c r="E82" s="12" t="str">
        <x:v>Investigation</x:v>
      </x:c>
      <x:c r="F82" s="12" t="str">
        <x:v>2026-07-22 16:21:50 CDT</x:v>
      </x:c>
      <x:c r="G82" s="12" t="str">
        <x:v>2026-07-22</x:v>
      </x:c>
      <x:c r="H82" s="15" t="n">
        <x:v>16</x:v>
      </x:c>
      <x:c r="I82" s="12" t="str">
        <x:v>Wednesday</x:v>
      </x:c>
      <x:c r="J82" s="12" t="str">
        <x:f>IF(D82=1,"1 network",IF(D82&lt;=135,"133–135 networks",IF(D82&lt;6000,"2,342–2,489 networks","6,248–6,295 networks")))</x:f>
        <x:v>1 network</x:v>
      </x:c>
      <x:c r="K82" s="12" t="n">
        <x:f>IF(OR(H82&lt;6,H82&gt;=22),1,0)</x:f>
        <x:v>0</x:v>
      </x:c>
      <x:c r="L82" s="12" t="n">
        <x:f>IF(COUNTIF($A$2:$A$186,A82)&gt;1,1,0)</x:f>
        <x:v>0</x:v>
      </x:c>
      <x:c r="M82" s="12" t="n">
        <x:f>IF(OR(I82="Saturday",I82="Sunday"),1,0)</x:f>
        <x:v>0</x:v>
      </x:c>
      <x:c r="N82" s="23" t="n">
        <x:v>2475.073</x:v>
      </x:c>
      <x:c r="O82" s="16" t="n">
        <x:f>IF(AND(N82&lt;&gt;"",N82&lt;=60),1,0)</x:f>
        <x:v>0</x:v>
      </x:c>
    </x:row>
    <x:row r="83">
      <x:c r="A83" s="11" t="str">
        <x:v>82e62361-08cd-400c-b09e-7cb6e14ca297</x:v>
      </x:c>
      <x:c r="B83" s="12" t="str">
        <x:v>***</x:v>
      </x:c>
      <x:c r="C83" s="13" t="str">
        <x:v>UTC 2026-07-22T21:35:50.542Z</x:v>
      </x:c>
      <x:c r="D83" s="14" t="n">
        <x:v>2470</x:v>
      </x:c>
      <x:c r="E83" s="12" t="str">
        <x:v>Investigation</x:v>
      </x:c>
      <x:c r="F83" s="12" t="str">
        <x:v>2026-07-22 16:35:50 CDT</x:v>
      </x:c>
      <x:c r="G83" s="12" t="str">
        <x:v>2026-07-22</x:v>
      </x:c>
      <x:c r="H83" s="15" t="n">
        <x:v>16</x:v>
      </x:c>
      <x:c r="I83" s="12" t="str">
        <x:v>Wednesday</x:v>
      </x:c>
      <x:c r="J83" s="12" t="str">
        <x:f>IF(D83=1,"1 network",IF(D83&lt;=135,"133–135 networks",IF(D83&lt;6000,"2,342–2,489 networks","6,248–6,295 networks")))</x:f>
        <x:v>2,342–2,489 networks</x:v>
      </x:c>
      <x:c r="K83" s="12" t="n">
        <x:f>IF(OR(H83&lt;6,H83&gt;=22),1,0)</x:f>
        <x:v>0</x:v>
      </x:c>
      <x:c r="L83" s="12" t="n">
        <x:f>IF(COUNTIF($A$2:$A$186,A83)&gt;1,1,0)</x:f>
        <x:v>0</x:v>
      </x:c>
      <x:c r="M83" s="12" t="n">
        <x:f>IF(OR(I83="Saturday",I83="Sunday"),1,0)</x:f>
        <x:v>0</x:v>
      </x:c>
      <x:c r="N83" s="23" t="n">
        <x:v>840.172</x:v>
      </x:c>
      <x:c r="O83" s="16" t="n">
        <x:f>IF(AND(N83&lt;&gt;"",N83&lt;=60),1,0)</x:f>
        <x:v>0</x:v>
      </x:c>
    </x:row>
    <x:row r="84">
      <x:c r="A84" s="11" t="str">
        <x:v>1208725c-a13a-4db7-aa9f-45baca12ef96</x:v>
      </x:c>
      <x:c r="B84" s="12" t="str">
        <x:v>***</x:v>
      </x:c>
      <x:c r="C84" s="13" t="str">
        <x:v>UTC 2026-07-22T22:07:36.567Z</x:v>
      </x:c>
      <x:c r="D84" s="14" t="n">
        <x:v>2470</x:v>
      </x:c>
      <x:c r="E84" s="12" t="str">
        <x:v>Investigation</x:v>
      </x:c>
      <x:c r="F84" s="12" t="str">
        <x:v>2026-07-22 17:07:36 CDT</x:v>
      </x:c>
      <x:c r="G84" s="12" t="str">
        <x:v>2026-07-22</x:v>
      </x:c>
      <x:c r="H84" s="15" t="n">
        <x:v>17</x:v>
      </x:c>
      <x:c r="I84" s="12" t="str">
        <x:v>Wednesday</x:v>
      </x:c>
      <x:c r="J84" s="12" t="str">
        <x:f>IF(D84=1,"1 network",IF(D84&lt;=135,"133–135 networks",IF(D84&lt;6000,"2,342–2,489 networks","6,248–6,295 networks")))</x:f>
        <x:v>2,342–2,489 networks</x:v>
      </x:c>
      <x:c r="K84" s="12" t="n">
        <x:f>IF(OR(H84&lt;6,H84&gt;=22),1,0)</x:f>
        <x:v>0</x:v>
      </x:c>
      <x:c r="L84" s="12" t="n">
        <x:f>IF(COUNTIF($A$2:$A$186,A84)&gt;1,1,0)</x:f>
        <x:v>0</x:v>
      </x:c>
      <x:c r="M84" s="12" t="n">
        <x:f>IF(OR(I84="Saturday",I84="Sunday"),1,0)</x:f>
        <x:v>0</x:v>
      </x:c>
      <x:c r="N84" s="23" t="n">
        <x:v>1906.025</x:v>
      </x:c>
      <x:c r="O84" s="16" t="n">
        <x:f>IF(AND(N84&lt;&gt;"",N84&lt;=60),1,0)</x:f>
        <x:v>0</x:v>
      </x:c>
    </x:row>
    <x:row r="85">
      <x:c r="A85" s="11" t="str">
        <x:v>d253e75c-dac9-4813-933b-7a3db3d89400</x:v>
      </x:c>
      <x:c r="B85" s="12" t="str">
        <x:v>***</x:v>
      </x:c>
      <x:c r="C85" s="13" t="str">
        <x:v>UTC 2026-07-23T03:36:58.517Z</x:v>
      </x:c>
      <x:c r="D85" s="14" t="n">
        <x:v>134</x:v>
      </x:c>
      <x:c r="E85" s="12" t="str">
        <x:v>Investigation</x:v>
      </x:c>
      <x:c r="F85" s="12" t="str">
        <x:v>2026-07-22 22:36:58 CDT</x:v>
      </x:c>
      <x:c r="G85" s="12" t="str">
        <x:v>2026-07-22</x:v>
      </x:c>
      <x:c r="H85" s="15" t="n">
        <x:v>22</x:v>
      </x:c>
      <x:c r="I85" s="12" t="str">
        <x:v>Wednesday</x:v>
      </x:c>
      <x:c r="J85" s="12" t="str">
        <x:f>IF(D85=1,"1 network",IF(D85&lt;=135,"133–135 networks",IF(D85&lt;6000,"2,342–2,489 networks","6,248–6,295 networks")))</x:f>
        <x:v>133–135 networks</x:v>
      </x:c>
      <x:c r="K85" s="12" t="n">
        <x:f>IF(OR(H85&lt;6,H85&gt;=22),1,0)</x:f>
        <x:v>1</x:v>
      </x:c>
      <x:c r="L85" s="12" t="n">
        <x:f>IF(COUNTIF($A$2:$A$186,A85)&gt;1,1,0)</x:f>
        <x:v>0</x:v>
      </x:c>
      <x:c r="M85" s="12" t="n">
        <x:f>IF(OR(I85="Saturday",I85="Sunday"),1,0)</x:f>
        <x:v>0</x:v>
      </x:c>
      <x:c r="N85" s="23" t="n">
        <x:v>19761.95</x:v>
      </x:c>
      <x:c r="O85" s="16" t="n">
        <x:f>IF(AND(N85&lt;&gt;"",N85&lt;=60),1,0)</x:f>
        <x:v>0</x:v>
      </x:c>
    </x:row>
    <x:row r="86">
      <x:c r="A86" s="11" t="str">
        <x:v>7a990efe-e7e4-45eb-a5a8-2f0c29bfe0f1</x:v>
      </x:c>
      <x:c r="B86" s="12" t="str">
        <x:v>***</x:v>
      </x:c>
      <x:c r="C86" s="13" t="str">
        <x:v>UTC 2026-07-23T13:29:28.299Z</x:v>
      </x:c>
      <x:c r="D86" s="14" t="n">
        <x:v>1</x:v>
      </x:c>
      <x:c r="E86" s="12" t="str">
        <x:v>Investigation</x:v>
      </x:c>
      <x:c r="F86" s="12" t="str">
        <x:v>2026-07-23 08:29:28 CDT</x:v>
      </x:c>
      <x:c r="G86" s="12" t="str">
        <x:v>2026-07-23</x:v>
      </x:c>
      <x:c r="H86" s="15" t="n">
        <x:v>8</x:v>
      </x:c>
      <x:c r="I86" s="12" t="str">
        <x:v>Thursday</x:v>
      </x:c>
      <x:c r="J86" s="12" t="str">
        <x:f>IF(D86=1,"1 network",IF(D86&lt;=135,"133–135 networks",IF(D86&lt;6000,"2,342–2,489 networks","6,248–6,295 networks")))</x:f>
        <x:v>1 network</x:v>
      </x:c>
      <x:c r="K86" s="12" t="n">
        <x:f>IF(OR(H86&lt;6,H86&gt;=22),1,0)</x:f>
        <x:v>0</x:v>
      </x:c>
      <x:c r="L86" s="12" t="n">
        <x:f>IF(COUNTIF($A$2:$A$186,A86)&gt;1,1,0)</x:f>
        <x:v>0</x:v>
      </x:c>
      <x:c r="M86" s="12" t="n">
        <x:f>IF(OR(I86="Saturday",I86="Sunday"),1,0)</x:f>
        <x:v>0</x:v>
      </x:c>
      <x:c r="N86" s="23" t="n">
        <x:v>35549.782</x:v>
      </x:c>
      <x:c r="O86" s="16" t="n">
        <x:f>IF(AND(N86&lt;&gt;"",N86&lt;=60),1,0)</x:f>
        <x:v>0</x:v>
      </x:c>
    </x:row>
    <x:row r="87">
      <x:c r="A87" s="11" t="str">
        <x:v>198ef9c1-5edd-457d-bc13-942cd2313c7b</x:v>
      </x:c>
      <x:c r="B87" s="12" t="str">
        <x:v>***</x:v>
      </x:c>
      <x:c r="C87" s="13" t="str">
        <x:v>UTC 2026-07-23T13:54:17.754Z</x:v>
      </x:c>
      <x:c r="D87" s="14" t="n">
        <x:v>2469</x:v>
      </x:c>
      <x:c r="E87" s="12" t="str">
        <x:v>Investigation</x:v>
      </x:c>
      <x:c r="F87" s="12" t="str">
        <x:v>2026-07-23 08:54:17 CDT</x:v>
      </x:c>
      <x:c r="G87" s="12" t="str">
        <x:v>2026-07-23</x:v>
      </x:c>
      <x:c r="H87" s="15" t="n">
        <x:v>8</x:v>
      </x:c>
      <x:c r="I87" s="12" t="str">
        <x:v>Thursday</x:v>
      </x:c>
      <x:c r="J87" s="12" t="str">
        <x:f>IF(D87=1,"1 network",IF(D87&lt;=135,"133–135 networks",IF(D87&lt;6000,"2,342–2,489 networks","6,248–6,295 networks")))</x:f>
        <x:v>2,342–2,489 networks</x:v>
      </x:c>
      <x:c r="K87" s="12" t="n">
        <x:f>IF(OR(H87&lt;6,H87&gt;=22),1,0)</x:f>
        <x:v>0</x:v>
      </x:c>
      <x:c r="L87" s="12" t="n">
        <x:f>IF(COUNTIF($A$2:$A$186,A87)&gt;1,1,0)</x:f>
        <x:v>0</x:v>
      </x:c>
      <x:c r="M87" s="12" t="n">
        <x:f>IF(OR(I87="Saturday",I87="Sunday"),1,0)</x:f>
        <x:v>0</x:v>
      </x:c>
      <x:c r="N87" s="23" t="n">
        <x:v>1489.455</x:v>
      </x:c>
      <x:c r="O87" s="16" t="n">
        <x:f>IF(AND(N87&lt;&gt;"",N87&lt;=60),1,0)</x:f>
        <x:v>0</x:v>
      </x:c>
    </x:row>
    <x:row r="88">
      <x:c r="A88" s="11" t="str">
        <x:v>85ad867a-2200-4a02-a15c-1c0274733286</x:v>
      </x:c>
      <x:c r="B88" s="12" t="str">
        <x:v>***</x:v>
      </x:c>
      <x:c r="C88" s="13" t="str">
        <x:v>UTC 2026-07-23T14:00:06.787Z</x:v>
      </x:c>
      <x:c r="D88" s="14" t="n">
        <x:v>2470</x:v>
      </x:c>
      <x:c r="E88" s="12" t="str">
        <x:v>Investigation</x:v>
      </x:c>
      <x:c r="F88" s="12" t="str">
        <x:v>2026-07-23 09:00:06 CDT</x:v>
      </x:c>
      <x:c r="G88" s="12" t="str">
        <x:v>2026-07-23</x:v>
      </x:c>
      <x:c r="H88" s="15" t="n">
        <x:v>9</x:v>
      </x:c>
      <x:c r="I88" s="12" t="str">
        <x:v>Thursday</x:v>
      </x:c>
      <x:c r="J88" s="12" t="str">
        <x:f>IF(D88=1,"1 network",IF(D88&lt;=135,"133–135 networks",IF(D88&lt;6000,"2,342–2,489 networks","6,248–6,295 networks")))</x:f>
        <x:v>2,342–2,489 networks</x:v>
      </x:c>
      <x:c r="K88" s="12" t="n">
        <x:f>IF(OR(H88&lt;6,H88&gt;=22),1,0)</x:f>
        <x:v>0</x:v>
      </x:c>
      <x:c r="L88" s="12" t="n">
        <x:f>IF(COUNTIF($A$2:$A$186,A88)&gt;1,1,0)</x:f>
        <x:v>0</x:v>
      </x:c>
      <x:c r="M88" s="12" t="n">
        <x:f>IF(OR(I88="Saturday",I88="Sunday"),1,0)</x:f>
        <x:v>0</x:v>
      </x:c>
      <x:c r="N88" s="23" t="n">
        <x:v>349.033</x:v>
      </x:c>
      <x:c r="O88" s="16" t="n">
        <x:f>IF(AND(N88&lt;&gt;"",N88&lt;=60),1,0)</x:f>
        <x:v>0</x:v>
      </x:c>
    </x:row>
    <x:row r="89">
      <x:c r="A89" s="11" t="str">
        <x:v>c068c72c-e44d-45cc-9dcd-b13f8db39267</x:v>
      </x:c>
      <x:c r="B89" s="12" t="str">
        <x:v>***</x:v>
      </x:c>
      <x:c r="C89" s="13" t="str">
        <x:v>UTC 2026-07-23T18:26:05.369Z</x:v>
      </x:c>
      <x:c r="D89" s="14" t="n">
        <x:v>1</x:v>
      </x:c>
      <x:c r="E89" s="12" t="str">
        <x:v>Investigation</x:v>
      </x:c>
      <x:c r="F89" s="12" t="str">
        <x:v>2026-07-23 13:26:05 CDT</x:v>
      </x:c>
      <x:c r="G89" s="12" t="str">
        <x:v>2026-07-23</x:v>
      </x:c>
      <x:c r="H89" s="15" t="n">
        <x:v>13</x:v>
      </x:c>
      <x:c r="I89" s="12" t="str">
        <x:v>Thursday</x:v>
      </x:c>
      <x:c r="J89" s="12" t="str">
        <x:f>IF(D89=1,"1 network",IF(D89&lt;=135,"133–135 networks",IF(D89&lt;6000,"2,342–2,489 networks","6,248–6,295 networks")))</x:f>
        <x:v>1 network</x:v>
      </x:c>
      <x:c r="K89" s="12" t="n">
        <x:f>IF(OR(H89&lt;6,H89&gt;=22),1,0)</x:f>
        <x:v>0</x:v>
      </x:c>
      <x:c r="L89" s="12" t="n">
        <x:f>IF(COUNTIF($A$2:$A$186,A89)&gt;1,1,0)</x:f>
        <x:v>0</x:v>
      </x:c>
      <x:c r="M89" s="12" t="n">
        <x:f>IF(OR(I89="Saturday",I89="Sunday"),1,0)</x:f>
        <x:v>0</x:v>
      </x:c>
      <x:c r="N89" s="23" t="n">
        <x:v>15958.582</x:v>
      </x:c>
      <x:c r="O89" s="16" t="n">
        <x:f>IF(AND(N89&lt;&gt;"",N89&lt;=60),1,0)</x:f>
        <x:v>0</x:v>
      </x:c>
    </x:row>
    <x:row r="90">
      <x:c r="A90" s="11" t="str">
        <x:v>bb092aeb-4628-4616-b6fc-fdc1ea1eaea1</x:v>
      </x:c>
      <x:c r="B90" s="12" t="str">
        <x:v>***</x:v>
      </x:c>
      <x:c r="C90" s="13" t="str">
        <x:v>UTC 2026-07-23T18:36:37.785Z</x:v>
      </x:c>
      <x:c r="D90" s="14" t="n">
        <x:v>134</x:v>
      </x:c>
      <x:c r="E90" s="12" t="str">
        <x:v>Investigation</x:v>
      </x:c>
      <x:c r="F90" s="12" t="str">
        <x:v>2026-07-23 13:36:37 CDT</x:v>
      </x:c>
      <x:c r="G90" s="12" t="str">
        <x:v>2026-07-23</x:v>
      </x:c>
      <x:c r="H90" s="15" t="n">
        <x:v>13</x:v>
      </x:c>
      <x:c r="I90" s="12" t="str">
        <x:v>Thursday</x:v>
      </x:c>
      <x:c r="J90" s="12" t="str">
        <x:f>IF(D90=1,"1 network",IF(D90&lt;=135,"133–135 networks",IF(D90&lt;6000,"2,342–2,489 networks","6,248–6,295 networks")))</x:f>
        <x:v>133–135 networks</x:v>
      </x:c>
      <x:c r="K90" s="12" t="n">
        <x:f>IF(OR(H90&lt;6,H90&gt;=22),1,0)</x:f>
        <x:v>0</x:v>
      </x:c>
      <x:c r="L90" s="12" t="n">
        <x:f>IF(COUNTIF($A$2:$A$186,A90)&gt;1,1,0)</x:f>
        <x:v>0</x:v>
      </x:c>
      <x:c r="M90" s="12" t="n">
        <x:f>IF(OR(I90="Saturday",I90="Sunday"),1,0)</x:f>
        <x:v>0</x:v>
      </x:c>
      <x:c r="N90" s="23" t="n">
        <x:v>632.416</x:v>
      </x:c>
      <x:c r="O90" s="16" t="n">
        <x:f>IF(AND(N90&lt;&gt;"",N90&lt;=60),1,0)</x:f>
        <x:v>0</x:v>
      </x:c>
    </x:row>
    <x:row r="91">
      <x:c r="A91" s="11" t="str">
        <x:v>7d02e6c8-cdaf-49a6-9fa0-c070a77e6d72</x:v>
      </x:c>
      <x:c r="B91" s="12" t="str">
        <x:v>***</x:v>
      </x:c>
      <x:c r="C91" s="13" t="str">
        <x:v>UTC 2026-07-23T19:00:03.452Z</x:v>
      </x:c>
      <x:c r="D91" s="14" t="n">
        <x:v>1</x:v>
      </x:c>
      <x:c r="E91" s="12" t="str">
        <x:v>Investigation</x:v>
      </x:c>
      <x:c r="F91" s="12" t="str">
        <x:v>2026-07-23 14:00:03 CDT</x:v>
      </x:c>
      <x:c r="G91" s="12" t="str">
        <x:v>2026-07-23</x:v>
      </x:c>
      <x:c r="H91" s="15" t="n">
        <x:v>14</x:v>
      </x:c>
      <x:c r="I91" s="12" t="str">
        <x:v>Thursday</x:v>
      </x:c>
      <x:c r="J91" s="12" t="str">
        <x:f>IF(D91=1,"1 network",IF(D91&lt;=135,"133–135 networks",IF(D91&lt;6000,"2,342–2,489 networks","6,248–6,295 networks")))</x:f>
        <x:v>1 network</x:v>
      </x:c>
      <x:c r="K91" s="12" t="n">
        <x:f>IF(OR(H91&lt;6,H91&gt;=22),1,0)</x:f>
        <x:v>0</x:v>
      </x:c>
      <x:c r="L91" s="12" t="n">
        <x:f>IF(COUNTIF($A$2:$A$186,A91)&gt;1,1,0)</x:f>
        <x:v>0</x:v>
      </x:c>
      <x:c r="M91" s="12" t="n">
        <x:f>IF(OR(I91="Saturday",I91="Sunday"),1,0)</x:f>
        <x:v>0</x:v>
      </x:c>
      <x:c r="N91" s="23" t="n">
        <x:v>1405.667</x:v>
      </x:c>
      <x:c r="O91" s="16" t="n">
        <x:f>IF(AND(N91&lt;&gt;"",N91&lt;=60),1,0)</x:f>
        <x:v>0</x:v>
      </x:c>
    </x:row>
    <x:row r="92">
      <x:c r="A92" s="11" t="str">
        <x:v>e3884ec7-4db9-4f9a-af63-7e4b73a1eb1c</x:v>
      </x:c>
      <x:c r="B92" s="12" t="str">
        <x:v>***</x:v>
      </x:c>
      <x:c r="C92" s="13" t="str">
        <x:v>UTC 2026-07-23T21:41:25.287Z</x:v>
      </x:c>
      <x:c r="D92" s="14" t="n">
        <x:v>134</x:v>
      </x:c>
      <x:c r="E92" s="12" t="str">
        <x:v>Investigation</x:v>
      </x:c>
      <x:c r="F92" s="12" t="str">
        <x:v>2026-07-23 16:41:25 CDT</x:v>
      </x:c>
      <x:c r="G92" s="12" t="str">
        <x:v>2026-07-23</x:v>
      </x:c>
      <x:c r="H92" s="15" t="n">
        <x:v>16</x:v>
      </x:c>
      <x:c r="I92" s="12" t="str">
        <x:v>Thursday</x:v>
      </x:c>
      <x:c r="J92" s="12" t="str">
        <x:f>IF(D92=1,"1 network",IF(D92&lt;=135,"133–135 networks",IF(D92&lt;6000,"2,342–2,489 networks","6,248–6,295 networks")))</x:f>
        <x:v>133–135 networks</x:v>
      </x:c>
      <x:c r="K92" s="12" t="n">
        <x:f>IF(OR(H92&lt;6,H92&gt;=22),1,0)</x:f>
        <x:v>0</x:v>
      </x:c>
      <x:c r="L92" s="12" t="n">
        <x:f>IF(COUNTIF($A$2:$A$186,A92)&gt;1,1,0)</x:f>
        <x:v>0</x:v>
      </x:c>
      <x:c r="M92" s="12" t="n">
        <x:f>IF(OR(I92="Saturday",I92="Sunday"),1,0)</x:f>
        <x:v>0</x:v>
      </x:c>
      <x:c r="N92" s="23" t="n">
        <x:v>9681.835</x:v>
      </x:c>
      <x:c r="O92" s="16" t="n">
        <x:f>IF(AND(N92&lt;&gt;"",N92&lt;=60),1,0)</x:f>
        <x:v>0</x:v>
      </x:c>
    </x:row>
    <x:row r="93">
      <x:c r="A93" s="11" t="str">
        <x:v>eeeea21a-1c2c-4767-b8d4-3413a876a0f4</x:v>
      </x:c>
      <x:c r="B93" s="12" t="str">
        <x:v>***</x:v>
      </x:c>
      <x:c r="C93" s="13" t="str">
        <x:v>UTC 2026-07-23T21:48:12.722Z</x:v>
      </x:c>
      <x:c r="D93" s="14" t="n">
        <x:v>1</x:v>
      </x:c>
      <x:c r="E93" s="12" t="str">
        <x:v>Investigation</x:v>
      </x:c>
      <x:c r="F93" s="12" t="str">
        <x:v>2026-07-23 16:48:12 CDT</x:v>
      </x:c>
      <x:c r="G93" s="12" t="str">
        <x:v>2026-07-23</x:v>
      </x:c>
      <x:c r="H93" s="15" t="n">
        <x:v>16</x:v>
      </x:c>
      <x:c r="I93" s="12" t="str">
        <x:v>Thursday</x:v>
      </x:c>
      <x:c r="J93" s="12" t="str">
        <x:f>IF(D93=1,"1 network",IF(D93&lt;=135,"133–135 networks",IF(D93&lt;6000,"2,342–2,489 networks","6,248–6,295 networks")))</x:f>
        <x:v>1 network</x:v>
      </x:c>
      <x:c r="K93" s="12" t="n">
        <x:f>IF(OR(H93&lt;6,H93&gt;=22),1,0)</x:f>
        <x:v>0</x:v>
      </x:c>
      <x:c r="L93" s="12" t="n">
        <x:f>IF(COUNTIF($A$2:$A$186,A93)&gt;1,1,0)</x:f>
        <x:v>0</x:v>
      </x:c>
      <x:c r="M93" s="12" t="n">
        <x:f>IF(OR(I93="Saturday",I93="Sunday"),1,0)</x:f>
        <x:v>0</x:v>
      </x:c>
      <x:c r="N93" s="23" t="n">
        <x:v>407.435</x:v>
      </x:c>
      <x:c r="O93" s="16" t="n">
        <x:f>IF(AND(N93&lt;&gt;"",N93&lt;=60),1,0)</x:f>
        <x:v>0</x:v>
      </x:c>
    </x:row>
    <x:row r="94">
      <x:c r="A94" s="11" t="str">
        <x:v>f47c7474-d549-48f1-a091-acbc6e34324b</x:v>
      </x:c>
      <x:c r="B94" s="12" t="str">
        <x:v>***</x:v>
      </x:c>
      <x:c r="C94" s="13" t="str">
        <x:v>UTC 2026-07-23T22:36:21.754Z</x:v>
      </x:c>
      <x:c r="D94" s="14" t="n">
        <x:v>1</x:v>
      </x:c>
      <x:c r="E94" s="12" t="str">
        <x:v>Investigation</x:v>
      </x:c>
      <x:c r="F94" s="12" t="str">
        <x:v>2026-07-23 17:36:21 CDT</x:v>
      </x:c>
      <x:c r="G94" s="12" t="str">
        <x:v>2026-07-23</x:v>
      </x:c>
      <x:c r="H94" s="15" t="n">
        <x:v>17</x:v>
      </x:c>
      <x:c r="I94" s="12" t="str">
        <x:v>Thursday</x:v>
      </x:c>
      <x:c r="J94" s="12" t="str">
        <x:f>IF(D94=1,"1 network",IF(D94&lt;=135,"133–135 networks",IF(D94&lt;6000,"2,342–2,489 networks","6,248–6,295 networks")))</x:f>
        <x:v>1 network</x:v>
      </x:c>
      <x:c r="K94" s="12" t="n">
        <x:f>IF(OR(H94&lt;6,H94&gt;=22),1,0)</x:f>
        <x:v>0</x:v>
      </x:c>
      <x:c r="L94" s="12" t="n">
        <x:f>IF(COUNTIF($A$2:$A$186,A94)&gt;1,1,0)</x:f>
        <x:v>0</x:v>
      </x:c>
      <x:c r="M94" s="12" t="n">
        <x:f>IF(OR(I94="Saturday",I94="Sunday"),1,0)</x:f>
        <x:v>0</x:v>
      </x:c>
      <x:c r="N94" s="23" t="n">
        <x:v>2889.032</x:v>
      </x:c>
      <x:c r="O94" s="16" t="n">
        <x:f>IF(AND(N94&lt;&gt;"",N94&lt;=60),1,0)</x:f>
        <x:v>0</x:v>
      </x:c>
    </x:row>
    <x:row r="95">
      <x:c r="A95" s="11" t="str">
        <x:v>66de7d94-86b6-4bdf-8338-3d761eb89049</x:v>
      </x:c>
      <x:c r="B95" s="12" t="str">
        <x:v>***</x:v>
      </x:c>
      <x:c r="C95" s="13" t="str">
        <x:v>UTC 2026-07-23T22:51:40.358Z</x:v>
      </x:c>
      <x:c r="D95" s="14" t="n">
        <x:v>134</x:v>
      </x:c>
      <x:c r="E95" s="12" t="str">
        <x:v>Investigation</x:v>
      </x:c>
      <x:c r="F95" s="12" t="str">
        <x:v>2026-07-23 17:51:40 CDT</x:v>
      </x:c>
      <x:c r="G95" s="12" t="str">
        <x:v>2026-07-23</x:v>
      </x:c>
      <x:c r="H95" s="15" t="n">
        <x:v>17</x:v>
      </x:c>
      <x:c r="I95" s="12" t="str">
        <x:v>Thursday</x:v>
      </x:c>
      <x:c r="J95" s="12" t="str">
        <x:f>IF(D95=1,"1 network",IF(D95&lt;=135,"133–135 networks",IF(D95&lt;6000,"2,342–2,489 networks","6,248–6,295 networks")))</x:f>
        <x:v>133–135 networks</x:v>
      </x:c>
      <x:c r="K95" s="12" t="n">
        <x:f>IF(OR(H95&lt;6,H95&gt;=22),1,0)</x:f>
        <x:v>0</x:v>
      </x:c>
      <x:c r="L95" s="12" t="n">
        <x:f>IF(COUNTIF($A$2:$A$186,A95)&gt;1,1,0)</x:f>
        <x:v>0</x:v>
      </x:c>
      <x:c r="M95" s="12" t="n">
        <x:f>IF(OR(I95="Saturday",I95="Sunday"),1,0)</x:f>
        <x:v>0</x:v>
      </x:c>
      <x:c r="N95" s="23" t="n">
        <x:v>918.604</x:v>
      </x:c>
      <x:c r="O95" s="16" t="n">
        <x:f>IF(AND(N95&lt;&gt;"",N95&lt;=60),1,0)</x:f>
        <x:v>0</x:v>
      </x:c>
    </x:row>
    <x:row r="96">
      <x:c r="A96" s="11" t="str">
        <x:v>1c9ef2bf-6ab6-499b-9820-9111bb920eb0</x:v>
      </x:c>
      <x:c r="B96" s="12" t="str">
        <x:v>***</x:v>
      </x:c>
      <x:c r="C96" s="13" t="str">
        <x:v>UTC 2026-07-23T23:07:06.133Z</x:v>
      </x:c>
      <x:c r="D96" s="14" t="n">
        <x:v>1</x:v>
      </x:c>
      <x:c r="E96" s="12" t="str">
        <x:v>Investigation</x:v>
      </x:c>
      <x:c r="F96" s="12" t="str">
        <x:v>2026-07-23 18:07:06 CDT</x:v>
      </x:c>
      <x:c r="G96" s="12" t="str">
        <x:v>2026-07-23</x:v>
      </x:c>
      <x:c r="H96" s="15" t="n">
        <x:v>18</x:v>
      </x:c>
      <x:c r="I96" s="12" t="str">
        <x:v>Thursday</x:v>
      </x:c>
      <x:c r="J96" s="12" t="str">
        <x:f>IF(D96=1,"1 network",IF(D96&lt;=135,"133–135 networks",IF(D96&lt;6000,"2,342–2,489 networks","6,248–6,295 networks")))</x:f>
        <x:v>1 network</x:v>
      </x:c>
      <x:c r="K96" s="12" t="n">
        <x:f>IF(OR(H96&lt;6,H96&gt;=22),1,0)</x:f>
        <x:v>0</x:v>
      </x:c>
      <x:c r="L96" s="12" t="n">
        <x:f>IF(COUNTIF($A$2:$A$186,A96)&gt;1,1,0)</x:f>
        <x:v>0</x:v>
      </x:c>
      <x:c r="M96" s="12" t="n">
        <x:f>IF(OR(I96="Saturday",I96="Sunday"),1,0)</x:f>
        <x:v>0</x:v>
      </x:c>
      <x:c r="N96" s="23" t="n">
        <x:v>925.775</x:v>
      </x:c>
      <x:c r="O96" s="16" t="n">
        <x:f>IF(AND(N96&lt;&gt;"",N96&lt;=60),1,0)</x:f>
        <x:v>0</x:v>
      </x:c>
    </x:row>
    <x:row r="97">
      <x:c r="A97" s="11" t="str">
        <x:v>79987b11-a74a-42b4-90a2-6b5e60a53f0c</x:v>
      </x:c>
      <x:c r="B97" s="12" t="str">
        <x:v>***</x:v>
      </x:c>
      <x:c r="C97" s="13" t="str">
        <x:v>UTC 2026-07-24T01:46:30.983Z</x:v>
      </x:c>
      <x:c r="D97" s="14" t="n">
        <x:v>6285</x:v>
      </x:c>
      <x:c r="E97" s="12" t="str">
        <x:v>Investigation</x:v>
      </x:c>
      <x:c r="F97" s="12" t="str">
        <x:v>2026-07-23 20:46:30 CDT</x:v>
      </x:c>
      <x:c r="G97" s="12" t="str">
        <x:v>2026-07-23</x:v>
      </x:c>
      <x:c r="H97" s="15" t="n">
        <x:v>20</x:v>
      </x:c>
      <x:c r="I97" s="12" t="str">
        <x:v>Thursday</x:v>
      </x:c>
      <x:c r="J97" s="12" t="str">
        <x:f>IF(D97=1,"1 network",IF(D97&lt;=135,"133–135 networks",IF(D97&lt;6000,"2,342–2,489 networks","6,248–6,295 networks")))</x:f>
        <x:v>6,248–6,295 networks</x:v>
      </x:c>
      <x:c r="K97" s="12" t="n">
        <x:f>IF(OR(H97&lt;6,H97&gt;=22),1,0)</x:f>
        <x:v>0</x:v>
      </x:c>
      <x:c r="L97" s="12" t="n">
        <x:f>IF(COUNTIF($A$2:$A$186,A97)&gt;1,1,0)</x:f>
        <x:v>0</x:v>
      </x:c>
      <x:c r="M97" s="12" t="n">
        <x:f>IF(OR(I97="Saturday",I97="Sunday"),1,0)</x:f>
        <x:v>0</x:v>
      </x:c>
      <x:c r="N97" s="23" t="n">
        <x:v>9564.85</x:v>
      </x:c>
      <x:c r="O97" s="16" t="n">
        <x:f>IF(AND(N97&lt;&gt;"",N97&lt;=60),1,0)</x:f>
        <x:v>0</x:v>
      </x:c>
    </x:row>
    <x:row r="98">
      <x:c r="A98" s="11" t="str">
        <x:v>c07775fa-a8ac-4405-9435-8b8be9d71378</x:v>
      </x:c>
      <x:c r="B98" s="12" t="str">
        <x:v>***</x:v>
      </x:c>
      <x:c r="C98" s="13" t="str">
        <x:v>UTC 2026-07-24T10:02:22.668Z</x:v>
      </x:c>
      <x:c r="D98" s="14" t="n">
        <x:v>2467</x:v>
      </x:c>
      <x:c r="E98" s="12" t="str">
        <x:v>Investigation</x:v>
      </x:c>
      <x:c r="F98" s="12" t="str">
        <x:v>2026-07-24 05:02:22 CDT</x:v>
      </x:c>
      <x:c r="G98" s="12" t="str">
        <x:v>2026-07-24</x:v>
      </x:c>
      <x:c r="H98" s="15" t="n">
        <x:v>5</x:v>
      </x:c>
      <x:c r="I98" s="12" t="str">
        <x:v>Friday</x:v>
      </x:c>
      <x:c r="J98" s="12" t="str">
        <x:f>IF(D98=1,"1 network",IF(D98&lt;=135,"133–135 networks",IF(D98&lt;6000,"2,342–2,489 networks","6,248–6,295 networks")))</x:f>
        <x:v>2,342–2,489 networks</x:v>
      </x:c>
      <x:c r="K98" s="12" t="n">
        <x:f>IF(OR(H98&lt;6,H98&gt;=22),1,0)</x:f>
        <x:v>1</x:v>
      </x:c>
      <x:c r="L98" s="12" t="n">
        <x:f>IF(COUNTIF($A$2:$A$186,A98)&gt;1,1,0)</x:f>
        <x:v>0</x:v>
      </x:c>
      <x:c r="M98" s="12" t="n">
        <x:f>IF(OR(I98="Saturday",I98="Sunday"),1,0)</x:f>
        <x:v>0</x:v>
      </x:c>
      <x:c r="N98" s="23" t="n">
        <x:v>29751.685</x:v>
      </x:c>
      <x:c r="O98" s="16" t="n">
        <x:f>IF(AND(N98&lt;&gt;"",N98&lt;=60),1,0)</x:f>
        <x:v>0</x:v>
      </x:c>
    </x:row>
    <x:row r="99">
      <x:c r="A99" s="11" t="str">
        <x:v>8480fe5a-8d58-4315-9acd-ad3e40d399da</x:v>
      </x:c>
      <x:c r="B99" s="12" t="str">
        <x:v>***</x:v>
      </x:c>
      <x:c r="C99" s="13" t="str">
        <x:v>UTC 2026-07-24T16:11:34.547Z</x:v>
      </x:c>
      <x:c r="D99" s="14" t="n">
        <x:v>1</x:v>
      </x:c>
      <x:c r="E99" s="12" t="str">
        <x:v>Investigation</x:v>
      </x:c>
      <x:c r="F99" s="12" t="str">
        <x:v>2026-07-24 11:11:34 CDT</x:v>
      </x:c>
      <x:c r="G99" s="12" t="str">
        <x:v>2026-07-24</x:v>
      </x:c>
      <x:c r="H99" s="15" t="n">
        <x:v>11</x:v>
      </x:c>
      <x:c r="I99" s="12" t="str">
        <x:v>Friday</x:v>
      </x:c>
      <x:c r="J99" s="12" t="str">
        <x:f>IF(D99=1,"1 network",IF(D99&lt;=135,"133–135 networks",IF(D99&lt;6000,"2,342–2,489 networks","6,248–6,295 networks")))</x:f>
        <x:v>1 network</x:v>
      </x:c>
      <x:c r="K99" s="12" t="n">
        <x:f>IF(OR(H99&lt;6,H99&gt;=22),1,0)</x:f>
        <x:v>0</x:v>
      </x:c>
      <x:c r="L99" s="12" t="n">
        <x:f>IF(COUNTIF($A$2:$A$186,A99)&gt;1,1,0)</x:f>
        <x:v>0</x:v>
      </x:c>
      <x:c r="M99" s="12" t="n">
        <x:f>IF(OR(I99="Saturday",I99="Sunday"),1,0)</x:f>
        <x:v>0</x:v>
      </x:c>
      <x:c r="N99" s="23" t="n">
        <x:v>22151.879</x:v>
      </x:c>
      <x:c r="O99" s="16" t="n">
        <x:f>IF(AND(N99&lt;&gt;"",N99&lt;=60),1,0)</x:f>
        <x:v>0</x:v>
      </x:c>
    </x:row>
    <x:row r="100">
      <x:c r="A100" s="11" t="str">
        <x:v>e104643f-8149-4e4b-8075-1689bc0ec12f</x:v>
      </x:c>
      <x:c r="B100" s="12" t="str">
        <x:v>***</x:v>
      </x:c>
      <x:c r="C100" s="13" t="str">
        <x:v>UTC 2026-07-24T16:14:15.085Z</x:v>
      </x:c>
      <x:c r="D100" s="14" t="n">
        <x:v>6286</x:v>
      </x:c>
      <x:c r="E100" s="12" t="str">
        <x:v>Investigation</x:v>
      </x:c>
      <x:c r="F100" s="12" t="str">
        <x:v>2026-07-24 11:14:15 CDT</x:v>
      </x:c>
      <x:c r="G100" s="12" t="str">
        <x:v>2026-07-24</x:v>
      </x:c>
      <x:c r="H100" s="15" t="n">
        <x:v>11</x:v>
      </x:c>
      <x:c r="I100" s="12" t="str">
        <x:v>Friday</x:v>
      </x:c>
      <x:c r="J100" s="12" t="str">
        <x:f>IF(D100=1,"1 network",IF(D100&lt;=135,"133–135 networks",IF(D100&lt;6000,"2,342–2,489 networks","6,248–6,295 networks")))</x:f>
        <x:v>6,248–6,295 networks</x:v>
      </x:c>
      <x:c r="K100" s="12" t="n">
        <x:f>IF(OR(H100&lt;6,H100&gt;=22),1,0)</x:f>
        <x:v>0</x:v>
      </x:c>
      <x:c r="L100" s="12" t="n">
        <x:f>IF(COUNTIF($A$2:$A$186,A100)&gt;1,1,0)</x:f>
        <x:v>0</x:v>
      </x:c>
      <x:c r="M100" s="12" t="n">
        <x:f>IF(OR(I100="Saturday",I100="Sunday"),1,0)</x:f>
        <x:v>0</x:v>
      </x:c>
      <x:c r="N100" s="23" t="n">
        <x:v>160.538</x:v>
      </x:c>
      <x:c r="O100" s="16" t="n">
        <x:f>IF(AND(N100&lt;&gt;"",N100&lt;=60),1,0)</x:f>
        <x:v>0</x:v>
      </x:c>
    </x:row>
    <x:row r="101">
      <x:c r="A101" s="11" t="str">
        <x:v>f0e6d690-557b-4742-81c9-792682fa664c</x:v>
      </x:c>
      <x:c r="B101" s="12" t="str">
        <x:v>***</x:v>
      </x:c>
      <x:c r="C101" s="13" t="str">
        <x:v>UTC 2026-07-24T17:01:47.090Z</x:v>
      </x:c>
      <x:c r="D101" s="14" t="n">
        <x:v>1</x:v>
      </x:c>
      <x:c r="E101" s="12" t="str">
        <x:v>Investigation</x:v>
      </x:c>
      <x:c r="F101" s="12" t="str">
        <x:v>2026-07-24 12:01:47 CDT</x:v>
      </x:c>
      <x:c r="G101" s="12" t="str">
        <x:v>2026-07-24</x:v>
      </x:c>
      <x:c r="H101" s="15" t="n">
        <x:v>12</x:v>
      </x:c>
      <x:c r="I101" s="12" t="str">
        <x:v>Friday</x:v>
      </x:c>
      <x:c r="J101" s="12" t="str">
        <x:f>IF(D101=1,"1 network",IF(D101&lt;=135,"133–135 networks",IF(D101&lt;6000,"2,342–2,489 networks","6,248–6,295 networks")))</x:f>
        <x:v>1 network</x:v>
      </x:c>
      <x:c r="K101" s="12" t="n">
        <x:f>IF(OR(H101&lt;6,H101&gt;=22),1,0)</x:f>
        <x:v>0</x:v>
      </x:c>
      <x:c r="L101" s="12" t="n">
        <x:f>IF(COUNTIF($A$2:$A$186,A101)&gt;1,1,0)</x:f>
        <x:v>0</x:v>
      </x:c>
      <x:c r="M101" s="12" t="n">
        <x:f>IF(OR(I101="Saturday",I101="Sunday"),1,0)</x:f>
        <x:v>0</x:v>
      </x:c>
      <x:c r="N101" s="23" t="n">
        <x:v>2852.005</x:v>
      </x:c>
      <x:c r="O101" s="16" t="n">
        <x:f>IF(AND(N101&lt;&gt;"",N101&lt;=60),1,0)</x:f>
        <x:v>0</x:v>
      </x:c>
    </x:row>
    <x:row r="102">
      <x:c r="A102" s="11" t="str">
        <x:v>0a86a2aa-9b13-4ea7-90a4-f5c3d92de04a</x:v>
      </x:c>
      <x:c r="B102" s="12" t="str">
        <x:v>***</x:v>
      </x:c>
      <x:c r="C102" s="13" t="str">
        <x:v>UTC 2026-07-24T18:23:11.387Z</x:v>
      </x:c>
      <x:c r="D102" s="14" t="n">
        <x:v>6286</x:v>
      </x:c>
      <x:c r="E102" s="12" t="str">
        <x:v>Investigation</x:v>
      </x:c>
      <x:c r="F102" s="12" t="str">
        <x:v>2026-07-24 13:23:11 CDT</x:v>
      </x:c>
      <x:c r="G102" s="12" t="str">
        <x:v>2026-07-24</x:v>
      </x:c>
      <x:c r="H102" s="15" t="n">
        <x:v>13</x:v>
      </x:c>
      <x:c r="I102" s="12" t="str">
        <x:v>Friday</x:v>
      </x:c>
      <x:c r="J102" s="12" t="str">
        <x:f>IF(D102=1,"1 network",IF(D102&lt;=135,"133–135 networks",IF(D102&lt;6000,"2,342–2,489 networks","6,248–6,295 networks")))</x:f>
        <x:v>6,248–6,295 networks</x:v>
      </x:c>
      <x:c r="K102" s="12" t="n">
        <x:f>IF(OR(H102&lt;6,H102&gt;=22),1,0)</x:f>
        <x:v>0</x:v>
      </x:c>
      <x:c r="L102" s="12" t="n">
        <x:f>IF(COUNTIF($A$2:$A$186,A102)&gt;1,1,0)</x:f>
        <x:v>0</x:v>
      </x:c>
      <x:c r="M102" s="12" t="n">
        <x:f>IF(OR(I102="Saturday",I102="Sunday"),1,0)</x:f>
        <x:v>0</x:v>
      </x:c>
      <x:c r="N102" s="23" t="n">
        <x:v>4884.297</x:v>
      </x:c>
      <x:c r="O102" s="16" t="n">
        <x:f>IF(AND(N102&lt;&gt;"",N102&lt;=60),1,0)</x:f>
        <x:v>0</x:v>
      </x:c>
    </x:row>
    <x:row r="103">
      <x:c r="A103" s="11" t="str">
        <x:v>b04b9459-1407-41fe-bf80-81ffc441b0fd</x:v>
      </x:c>
      <x:c r="B103" s="12" t="str">
        <x:v>***</x:v>
      </x:c>
      <x:c r="C103" s="13" t="str">
        <x:v>UTC 2026-07-24T18:39:44.346Z</x:v>
      </x:c>
      <x:c r="D103" s="14" t="n">
        <x:v>6286</x:v>
      </x:c>
      <x:c r="E103" s="12" t="str">
        <x:v>Investigation</x:v>
      </x:c>
      <x:c r="F103" s="12" t="str">
        <x:v>2026-07-24 13:39:44 CDT</x:v>
      </x:c>
      <x:c r="G103" s="12" t="str">
        <x:v>2026-07-24</x:v>
      </x:c>
      <x:c r="H103" s="15" t="n">
        <x:v>13</x:v>
      </x:c>
      <x:c r="I103" s="12" t="str">
        <x:v>Friday</x:v>
      </x:c>
      <x:c r="J103" s="12" t="str">
        <x:f>IF(D103=1,"1 network",IF(D103&lt;=135,"133–135 networks",IF(D103&lt;6000,"2,342–2,489 networks","6,248–6,295 networks")))</x:f>
        <x:v>6,248–6,295 networks</x:v>
      </x:c>
      <x:c r="K103" s="12" t="n">
        <x:f>IF(OR(H103&lt;6,H103&gt;=22),1,0)</x:f>
        <x:v>0</x:v>
      </x:c>
      <x:c r="L103" s="12" t="n">
        <x:f>IF(COUNTIF($A$2:$A$186,A103)&gt;1,1,0)</x:f>
        <x:v>0</x:v>
      </x:c>
      <x:c r="M103" s="12" t="n">
        <x:f>IF(OR(I103="Saturday",I103="Sunday"),1,0)</x:f>
        <x:v>0</x:v>
      </x:c>
      <x:c r="N103" s="23" t="n">
        <x:v>992.959</x:v>
      </x:c>
      <x:c r="O103" s="16" t="n">
        <x:f>IF(AND(N103&lt;&gt;"",N103&lt;=60),1,0)</x:f>
        <x:v>0</x:v>
      </x:c>
    </x:row>
    <x:row r="104">
      <x:c r="A104" s="11" t="str">
        <x:v>0dd73e1d-db44-4e99-92bc-aff7945c90fa</x:v>
      </x:c>
      <x:c r="B104" s="12" t="str">
        <x:v>***</x:v>
      </x:c>
      <x:c r="C104" s="13" t="str">
        <x:v>UTC 2026-07-24T19:00:00.559Z</x:v>
      </x:c>
      <x:c r="D104" s="14" t="n">
        <x:v>1</x:v>
      </x:c>
      <x:c r="E104" s="12" t="str">
        <x:v>Investigation</x:v>
      </x:c>
      <x:c r="F104" s="12" t="str">
        <x:v>2026-07-24 14:00:00 CDT</x:v>
      </x:c>
      <x:c r="G104" s="12" t="str">
        <x:v>2026-07-24</x:v>
      </x:c>
      <x:c r="H104" s="15" t="n">
        <x:v>14</x:v>
      </x:c>
      <x:c r="I104" s="12" t="str">
        <x:v>Friday</x:v>
      </x:c>
      <x:c r="J104" s="12" t="str">
        <x:f>IF(D104=1,"1 network",IF(D104&lt;=135,"133–135 networks",IF(D104&lt;6000,"2,342–2,489 networks","6,248–6,295 networks")))</x:f>
        <x:v>1 network</x:v>
      </x:c>
      <x:c r="K104" s="12" t="n">
        <x:f>IF(OR(H104&lt;6,H104&gt;=22),1,0)</x:f>
        <x:v>0</x:v>
      </x:c>
      <x:c r="L104" s="12" t="n">
        <x:f>IF(COUNTIF($A$2:$A$186,A104)&gt;1,1,0)</x:f>
        <x:v>0</x:v>
      </x:c>
      <x:c r="M104" s="12" t="n">
        <x:f>IF(OR(I104="Saturday",I104="Sunday"),1,0)</x:f>
        <x:v>0</x:v>
      </x:c>
      <x:c r="N104" s="23" t="n">
        <x:v>1216.213</x:v>
      </x:c>
      <x:c r="O104" s="16" t="n">
        <x:f>IF(AND(N104&lt;&gt;"",N104&lt;=60),1,0)</x:f>
        <x:v>0</x:v>
      </x:c>
    </x:row>
    <x:row r="105">
      <x:c r="A105" s="11" t="str">
        <x:v>9b8d5823-5771-4a43-b401-76fba4f942b3</x:v>
      </x:c>
      <x:c r="B105" s="12" t="str">
        <x:v>***</x:v>
      </x:c>
      <x:c r="C105" s="13" t="str">
        <x:v>UTC 2026-07-24T19:15:25.669Z</x:v>
      </x:c>
      <x:c r="D105" s="14" t="n">
        <x:v>6286</x:v>
      </x:c>
      <x:c r="E105" s="12" t="str">
        <x:v>Investigation</x:v>
      </x:c>
      <x:c r="F105" s="12" t="str">
        <x:v>2026-07-24 14:15:25 CDT</x:v>
      </x:c>
      <x:c r="G105" s="12" t="str">
        <x:v>2026-07-24</x:v>
      </x:c>
      <x:c r="H105" s="15" t="n">
        <x:v>14</x:v>
      </x:c>
      <x:c r="I105" s="12" t="str">
        <x:v>Friday</x:v>
      </x:c>
      <x:c r="J105" s="12" t="str">
        <x:f>IF(D105=1,"1 network",IF(D105&lt;=135,"133–135 networks",IF(D105&lt;6000,"2,342–2,489 networks","6,248–6,295 networks")))</x:f>
        <x:v>6,248–6,295 networks</x:v>
      </x:c>
      <x:c r="K105" s="12" t="n">
        <x:f>IF(OR(H105&lt;6,H105&gt;=22),1,0)</x:f>
        <x:v>0</x:v>
      </x:c>
      <x:c r="L105" s="12" t="n">
        <x:f>IF(COUNTIF($A$2:$A$186,A105)&gt;1,1,0)</x:f>
        <x:v>0</x:v>
      </x:c>
      <x:c r="M105" s="12" t="n">
        <x:f>IF(OR(I105="Saturday",I105="Sunday"),1,0)</x:f>
        <x:v>0</x:v>
      </x:c>
      <x:c r="N105" s="23" t="n">
        <x:v>925.11</x:v>
      </x:c>
      <x:c r="O105" s="16" t="n">
        <x:f>IF(AND(N105&lt;&gt;"",N105&lt;=60),1,0)</x:f>
        <x:v>0</x:v>
      </x:c>
    </x:row>
    <x:row r="106">
      <x:c r="A106" s="11" t="str">
        <x:v>6858a529-40f5-45db-86ba-50e95dd9daff</x:v>
      </x:c>
      <x:c r="B106" s="12" t="str">
        <x:v>***</x:v>
      </x:c>
      <x:c r="C106" s="13" t="str">
        <x:v>UTC 2026-07-24T19:24:19.360Z</x:v>
      </x:c>
      <x:c r="D106" s="14" t="n">
        <x:v>1</x:v>
      </x:c>
      <x:c r="E106" s="12" t="str">
        <x:v>Investigation</x:v>
      </x:c>
      <x:c r="F106" s="12" t="str">
        <x:v>2026-07-24 14:24:19 CDT</x:v>
      </x:c>
      <x:c r="G106" s="12" t="str">
        <x:v>2026-07-24</x:v>
      </x:c>
      <x:c r="H106" s="15" t="n">
        <x:v>14</x:v>
      </x:c>
      <x:c r="I106" s="12" t="str">
        <x:v>Friday</x:v>
      </x:c>
      <x:c r="J106" s="12" t="str">
        <x:f>IF(D106=1,"1 network",IF(D106&lt;=135,"133–135 networks",IF(D106&lt;6000,"2,342–2,489 networks","6,248–6,295 networks")))</x:f>
        <x:v>1 network</x:v>
      </x:c>
      <x:c r="K106" s="12" t="n">
        <x:f>IF(OR(H106&lt;6,H106&gt;=22),1,0)</x:f>
        <x:v>0</x:v>
      </x:c>
      <x:c r="L106" s="12" t="n">
        <x:f>IF(COUNTIF($A$2:$A$186,A106)&gt;1,1,0)</x:f>
        <x:v>0</x:v>
      </x:c>
      <x:c r="M106" s="12" t="n">
        <x:f>IF(OR(I106="Saturday",I106="Sunday"),1,0)</x:f>
        <x:v>0</x:v>
      </x:c>
      <x:c r="N106" s="23" t="n">
        <x:v>533.691</x:v>
      </x:c>
      <x:c r="O106" s="16" t="n">
        <x:f>IF(AND(N106&lt;&gt;"",N106&lt;=60),1,0)</x:f>
        <x:v>0</x:v>
      </x:c>
    </x:row>
    <x:row r="107">
      <x:c r="A107" s="11" t="str">
        <x:v>69891a23-6b25-488f-9e4e-0b1a8ef81a58</x:v>
      </x:c>
      <x:c r="B107" s="12" t="str">
        <x:v>***</x:v>
      </x:c>
      <x:c r="C107" s="13" t="str">
        <x:v>UTC 2026-07-24T19:40:16.274Z</x:v>
      </x:c>
      <x:c r="D107" s="14" t="n">
        <x:v>2467</x:v>
      </x:c>
      <x:c r="E107" s="12" t="str">
        <x:v>Investigation</x:v>
      </x:c>
      <x:c r="F107" s="12" t="str">
        <x:v>2026-07-24 14:40:16 CDT</x:v>
      </x:c>
      <x:c r="G107" s="12" t="str">
        <x:v>2026-07-24</x:v>
      </x:c>
      <x:c r="H107" s="15" t="n">
        <x:v>14</x:v>
      </x:c>
      <x:c r="I107" s="12" t="str">
        <x:v>Friday</x:v>
      </x:c>
      <x:c r="J107" s="12" t="str">
        <x:f>IF(D107=1,"1 network",IF(D107&lt;=135,"133–135 networks",IF(D107&lt;6000,"2,342–2,489 networks","6,248–6,295 networks")))</x:f>
        <x:v>2,342–2,489 networks</x:v>
      </x:c>
      <x:c r="K107" s="12" t="n">
        <x:f>IF(OR(H107&lt;6,H107&gt;=22),1,0)</x:f>
        <x:v>0</x:v>
      </x:c>
      <x:c r="L107" s="12" t="n">
        <x:f>IF(COUNTIF($A$2:$A$186,A107)&gt;1,1,0)</x:f>
        <x:v>0</x:v>
      </x:c>
      <x:c r="M107" s="12" t="n">
        <x:f>IF(OR(I107="Saturday",I107="Sunday"),1,0)</x:f>
        <x:v>0</x:v>
      </x:c>
      <x:c r="N107" s="23" t="n">
        <x:v>956.914</x:v>
      </x:c>
      <x:c r="O107" s="16" t="n">
        <x:f>IF(AND(N107&lt;&gt;"",N107&lt;=60),1,0)</x:f>
        <x:v>0</x:v>
      </x:c>
    </x:row>
    <x:row r="108">
      <x:c r="A108" s="11" t="str">
        <x:v>15ca4a7c-ab68-4689-929d-35e1468e23bd</x:v>
      </x:c>
      <x:c r="B108" s="12" t="str">
        <x:v>***</x:v>
      </x:c>
      <x:c r="C108" s="13" t="str">
        <x:v>UTC 2026-07-24T20:59:39.757Z</x:v>
      </x:c>
      <x:c r="D108" s="14" t="n">
        <x:v>6286</x:v>
      </x:c>
      <x:c r="E108" s="12" t="str">
        <x:v>Investigation</x:v>
      </x:c>
      <x:c r="F108" s="12" t="str">
        <x:v>2026-07-24 15:59:39 CDT</x:v>
      </x:c>
      <x:c r="G108" s="12" t="str">
        <x:v>2026-07-24</x:v>
      </x:c>
      <x:c r="H108" s="15" t="n">
        <x:v>15</x:v>
      </x:c>
      <x:c r="I108" s="12" t="str">
        <x:v>Friday</x:v>
      </x:c>
      <x:c r="J108" s="12" t="str">
        <x:f>IF(D108=1,"1 network",IF(D108&lt;=135,"133–135 networks",IF(D108&lt;6000,"2,342–2,489 networks","6,248–6,295 networks")))</x:f>
        <x:v>6,248–6,295 networks</x:v>
      </x:c>
      <x:c r="K108" s="12" t="n">
        <x:f>IF(OR(H108&lt;6,H108&gt;=22),1,0)</x:f>
        <x:v>0</x:v>
      </x:c>
      <x:c r="L108" s="12" t="n">
        <x:f>IF(COUNTIF($A$2:$A$186,A108)&gt;1,1,0)</x:f>
        <x:v>0</x:v>
      </x:c>
      <x:c r="M108" s="12" t="n">
        <x:f>IF(OR(I108="Saturday",I108="Sunday"),1,0)</x:f>
        <x:v>0</x:v>
      </x:c>
      <x:c r="N108" s="23" t="n">
        <x:v>4763.483</x:v>
      </x:c>
      <x:c r="O108" s="16" t="n">
        <x:f>IF(AND(N108&lt;&gt;"",N108&lt;=60),1,0)</x:f>
        <x:v>0</x:v>
      </x:c>
    </x:row>
    <x:row r="109">
      <x:c r="A109" s="11" t="str">
        <x:v>4462747e-2941-4ab4-8988-ebb795a740d3</x:v>
      </x:c>
      <x:c r="B109" s="12" t="str">
        <x:v>***</x:v>
      </x:c>
      <x:c r="C109" s="13" t="str">
        <x:v>UTC 2026-07-24T21:00:56.726Z</x:v>
      </x:c>
      <x:c r="D109" s="14" t="n">
        <x:v>6286</x:v>
      </x:c>
      <x:c r="E109" s="12" t="str">
        <x:v>Investigation</x:v>
      </x:c>
      <x:c r="F109" s="12" t="str">
        <x:v>2026-07-24 16:00:56 CDT</x:v>
      </x:c>
      <x:c r="G109" s="12" t="str">
        <x:v>2026-07-24</x:v>
      </x:c>
      <x:c r="H109" s="15" t="n">
        <x:v>16</x:v>
      </x:c>
      <x:c r="I109" s="12" t="str">
        <x:v>Friday</x:v>
      </x:c>
      <x:c r="J109" s="12" t="str">
        <x:f>IF(D109=1,"1 network",IF(D109&lt;=135,"133–135 networks",IF(D109&lt;6000,"2,342–2,489 networks","6,248–6,295 networks")))</x:f>
        <x:v>6,248–6,295 networks</x:v>
      </x:c>
      <x:c r="K109" s="12" t="n">
        <x:f>IF(OR(H109&lt;6,H109&gt;=22),1,0)</x:f>
        <x:v>0</x:v>
      </x:c>
      <x:c r="L109" s="12" t="n">
        <x:f>IF(COUNTIF($A$2:$A$186,A109)&gt;1,1,0)</x:f>
        <x:v>0</x:v>
      </x:c>
      <x:c r="M109" s="12" t="n">
        <x:f>IF(OR(I109="Saturday",I109="Sunday"),1,0)</x:f>
        <x:v>0</x:v>
      </x:c>
      <x:c r="N109" s="23" t="n">
        <x:v>76.969</x:v>
      </x:c>
      <x:c r="O109" s="16" t="n">
        <x:f>IF(AND(N109&lt;&gt;"",N109&lt;=60),1,0)</x:f>
        <x:v>0</x:v>
      </x:c>
    </x:row>
    <x:row r="110">
      <x:c r="A110" s="11" t="str">
        <x:v>18e7b175-c29d-4f96-b7de-b20a0f514a2c</x:v>
      </x:c>
      <x:c r="B110" s="12" t="str">
        <x:v>***</x:v>
      </x:c>
      <x:c r="C110" s="13" t="str">
        <x:v>UTC 2026-07-25T02:57:35.557Z</x:v>
      </x:c>
      <x:c r="D110" s="14" t="n">
        <x:v>6286</x:v>
      </x:c>
      <x:c r="E110" s="12" t="str">
        <x:v>Investigation</x:v>
      </x:c>
      <x:c r="F110" s="12" t="str">
        <x:v>2026-07-24 21:57:35 CDT</x:v>
      </x:c>
      <x:c r="G110" s="12" t="str">
        <x:v>2026-07-24</x:v>
      </x:c>
      <x:c r="H110" s="15" t="n">
        <x:v>21</x:v>
      </x:c>
      <x:c r="I110" s="12" t="str">
        <x:v>Friday</x:v>
      </x:c>
      <x:c r="J110" s="12" t="str">
        <x:f>IF(D110=1,"1 network",IF(D110&lt;=135,"133–135 networks",IF(D110&lt;6000,"2,342–2,489 networks","6,248–6,295 networks")))</x:f>
        <x:v>6,248–6,295 networks</x:v>
      </x:c>
      <x:c r="K110" s="12" t="n">
        <x:f>IF(OR(H110&lt;6,H110&gt;=22),1,0)</x:f>
        <x:v>0</x:v>
      </x:c>
      <x:c r="L110" s="12" t="n">
        <x:f>IF(COUNTIF($A$2:$A$186,A110)&gt;1,1,0)</x:f>
        <x:v>0</x:v>
      </x:c>
      <x:c r="M110" s="12" t="n">
        <x:f>IF(OR(I110="Saturday",I110="Sunday"),1,0)</x:f>
        <x:v>0</x:v>
      </x:c>
      <x:c r="N110" s="23" t="n">
        <x:v>21398.831</x:v>
      </x:c>
      <x:c r="O110" s="16" t="n">
        <x:f>IF(AND(N110&lt;&gt;"",N110&lt;=60),1,0)</x:f>
        <x:v>0</x:v>
      </x:c>
    </x:row>
    <x:row r="111">
      <x:c r="A111" s="11" t="str">
        <x:v>5a926a95-2ee7-4f0b-aa79-99d0925d1de1</x:v>
      </x:c>
      <x:c r="B111" s="12" t="str">
        <x:v>***</x:v>
      </x:c>
      <x:c r="C111" s="13" t="str">
        <x:v>UTC 2026-07-26T15:35:14.647Z</x:v>
      </x:c>
      <x:c r="D111" s="14" t="n">
        <x:v>2466</x:v>
      </x:c>
      <x:c r="E111" s="12" t="str">
        <x:v>Investigation</x:v>
      </x:c>
      <x:c r="F111" s="12" t="str">
        <x:v>2026-07-26 10:35:14 CDT</x:v>
      </x:c>
      <x:c r="G111" s="12" t="str">
        <x:v>2026-07-26</x:v>
      </x:c>
      <x:c r="H111" s="15" t="n">
        <x:v>10</x:v>
      </x:c>
      <x:c r="I111" s="12" t="str">
        <x:v>Sunday</x:v>
      </x:c>
      <x:c r="J111" s="12" t="str">
        <x:f>IF(D111=1,"1 network",IF(D111&lt;=135,"133–135 networks",IF(D111&lt;6000,"2,342–2,489 networks","6,248–6,295 networks")))</x:f>
        <x:v>2,342–2,489 networks</x:v>
      </x:c>
      <x:c r="K111" s="12" t="n">
        <x:f>IF(OR(H111&lt;6,H111&gt;=22),1,0)</x:f>
        <x:v>0</x:v>
      </x:c>
      <x:c r="L111" s="12" t="n">
        <x:f>IF(COUNTIF($A$2:$A$186,A111)&gt;1,1,0)</x:f>
        <x:v>0</x:v>
      </x:c>
      <x:c r="M111" s="12" t="n">
        <x:f>IF(OR(I111="Saturday",I111="Sunday"),1,0)</x:f>
        <x:v>1</x:v>
      </x:c>
      <x:c r="N111" s="23" t="n">
        <x:v>131859.09</x:v>
      </x:c>
      <x:c r="O111" s="16" t="n">
        <x:f>IF(AND(N111&lt;&gt;"",N111&lt;=60),1,0)</x:f>
        <x:v>0</x:v>
      </x:c>
    </x:row>
    <x:row r="112">
      <x:c r="A112" s="11" t="str">
        <x:v>a47d274c-a14e-409e-9493-786a2e5e9dc0</x:v>
      </x:c>
      <x:c r="B112" s="12" t="str">
        <x:v>***</x:v>
      </x:c>
      <x:c r="C112" s="13" t="str">
        <x:v>UTC 2026-07-27T16:47:16.429Z</x:v>
      </x:c>
      <x:c r="D112" s="14" t="n">
        <x:v>1</x:v>
      </x:c>
      <x:c r="E112" s="12" t="str">
        <x:v>Investigation</x:v>
      </x:c>
      <x:c r="F112" s="12" t="str">
        <x:v>2026-07-27 11:47:16 CDT</x:v>
      </x:c>
      <x:c r="G112" s="12" t="str">
        <x:v>2026-07-27</x:v>
      </x:c>
      <x:c r="H112" s="15" t="n">
        <x:v>11</x:v>
      </x:c>
      <x:c r="I112" s="12" t="str">
        <x:v>Monday</x:v>
      </x:c>
      <x:c r="J112" s="12" t="str">
        <x:f>IF(D112=1,"1 network",IF(D112&lt;=135,"133–135 networks",IF(D112&lt;6000,"2,342–2,489 networks","6,248–6,295 networks")))</x:f>
        <x:v>1 network</x:v>
      </x:c>
      <x:c r="K112" s="12" t="n">
        <x:f>IF(OR(H112&lt;6,H112&gt;=22),1,0)</x:f>
        <x:v>0</x:v>
      </x:c>
      <x:c r="L112" s="12" t="n">
        <x:f>IF(COUNTIF($A$2:$A$186,A112)&gt;1,1,0)</x:f>
        <x:v>0</x:v>
      </x:c>
      <x:c r="M112" s="12" t="n">
        <x:f>IF(OR(I112="Saturday",I112="Sunday"),1,0)</x:f>
        <x:v>0</x:v>
      </x:c>
      <x:c r="N112" s="23" t="n">
        <x:v>90721.782</x:v>
      </x:c>
      <x:c r="O112" s="16" t="n">
        <x:f>IF(AND(N112&lt;&gt;"",N112&lt;=60),1,0)</x:f>
        <x:v>0</x:v>
      </x:c>
    </x:row>
    <x:row r="113">
      <x:c r="A113" s="11" t="str">
        <x:v>df0d125b-77c2-4a90-8b67-99c37bf8ed9a</x:v>
      </x:c>
      <x:c r="B113" s="12" t="str">
        <x:v>***</x:v>
      </x:c>
      <x:c r="C113" s="13" t="str">
        <x:v>UTC 2026-07-27T18:53:58.638Z</x:v>
      </x:c>
      <x:c r="D113" s="14" t="n">
        <x:v>134</x:v>
      </x:c>
      <x:c r="E113" s="12" t="str">
        <x:v>Investigation</x:v>
      </x:c>
      <x:c r="F113" s="12" t="str">
        <x:v>2026-07-27 13:53:58 CDT</x:v>
      </x:c>
      <x:c r="G113" s="12" t="str">
        <x:v>2026-07-27</x:v>
      </x:c>
      <x:c r="H113" s="15" t="n">
        <x:v>13</x:v>
      </x:c>
      <x:c r="I113" s="12" t="str">
        <x:v>Monday</x:v>
      </x:c>
      <x:c r="J113" s="12" t="str">
        <x:f>IF(D113=1,"1 network",IF(D113&lt;=135,"133–135 networks",IF(D113&lt;6000,"2,342–2,489 networks","6,248–6,295 networks")))</x:f>
        <x:v>133–135 networks</x:v>
      </x:c>
      <x:c r="K113" s="12" t="n">
        <x:f>IF(OR(H113&lt;6,H113&gt;=22),1,0)</x:f>
        <x:v>0</x:v>
      </x:c>
      <x:c r="L113" s="12" t="n">
        <x:f>IF(COUNTIF($A$2:$A$186,A113)&gt;1,1,0)</x:f>
        <x:v>0</x:v>
      </x:c>
      <x:c r="M113" s="12" t="n">
        <x:f>IF(OR(I113="Saturday",I113="Sunday"),1,0)</x:f>
        <x:v>0</x:v>
      </x:c>
      <x:c r="N113" s="23" t="n">
        <x:v>7602.209</x:v>
      </x:c>
      <x:c r="O113" s="16" t="n">
        <x:f>IF(AND(N113&lt;&gt;"",N113&lt;=60),1,0)</x:f>
        <x:v>0</x:v>
      </x:c>
    </x:row>
    <x:row r="114">
      <x:c r="A114" s="11" t="str">
        <x:v>0ecc6de9-39e9-450d-a5bc-09448c3d7787</x:v>
      </x:c>
      <x:c r="B114" s="12" t="str">
        <x:v>***</x:v>
      </x:c>
      <x:c r="C114" s="13" t="str">
        <x:v>UTC 2026-07-27T19:04:47.952Z</x:v>
      </x:c>
      <x:c r="D114" s="14" t="n">
        <x:v>2464</x:v>
      </x:c>
      <x:c r="E114" s="12" t="str">
        <x:v>Investigation</x:v>
      </x:c>
      <x:c r="F114" s="12" t="str">
        <x:v>2026-07-27 14:04:47 CDT</x:v>
      </x:c>
      <x:c r="G114" s="12" t="str">
        <x:v>2026-07-27</x:v>
      </x:c>
      <x:c r="H114" s="15" t="n">
        <x:v>14</x:v>
      </x:c>
      <x:c r="I114" s="12" t="str">
        <x:v>Monday</x:v>
      </x:c>
      <x:c r="J114" s="12" t="str">
        <x:f>IF(D114=1,"1 network",IF(D114&lt;=135,"133–135 networks",IF(D114&lt;6000,"2,342–2,489 networks","6,248–6,295 networks")))</x:f>
        <x:v>2,342–2,489 networks</x:v>
      </x:c>
      <x:c r="K114" s="12" t="n">
        <x:f>IF(OR(H114&lt;6,H114&gt;=22),1,0)</x:f>
        <x:v>0</x:v>
      </x:c>
      <x:c r="L114" s="12" t="n">
        <x:f>IF(COUNTIF($A$2:$A$186,A114)&gt;1,1,0)</x:f>
        <x:v>0</x:v>
      </x:c>
      <x:c r="M114" s="12" t="n">
        <x:f>IF(OR(I114="Saturday",I114="Sunday"),1,0)</x:f>
        <x:v>0</x:v>
      </x:c>
      <x:c r="N114" s="23" t="n">
        <x:v>649.314</x:v>
      </x:c>
      <x:c r="O114" s="16" t="n">
        <x:f>IF(AND(N114&lt;&gt;"",N114&lt;=60),1,0)</x:f>
        <x:v>0</x:v>
      </x:c>
    </x:row>
    <x:row r="115">
      <x:c r="A115" s="11" t="str">
        <x:v>16b819df-7d90-4284-99cf-3be01b7d55fd</x:v>
      </x:c>
      <x:c r="B115" s="12" t="str">
        <x:v>***</x:v>
      </x:c>
      <x:c r="C115" s="13" t="str">
        <x:v>UTC 2026-07-27T19:08:25.012Z</x:v>
      </x:c>
      <x:c r="D115" s="14" t="n">
        <x:v>134</x:v>
      </x:c>
      <x:c r="E115" s="12" t="str">
        <x:v>Investigation</x:v>
      </x:c>
      <x:c r="F115" s="12" t="str">
        <x:v>2026-07-27 14:08:25 CDT</x:v>
      </x:c>
      <x:c r="G115" s="12" t="str">
        <x:v>2026-07-27</x:v>
      </x:c>
      <x:c r="H115" s="15" t="n">
        <x:v>14</x:v>
      </x:c>
      <x:c r="I115" s="12" t="str">
        <x:v>Monday</x:v>
      </x:c>
      <x:c r="J115" s="12" t="str">
        <x:f>IF(D115=1,"1 network",IF(D115&lt;=135,"133–135 networks",IF(D115&lt;6000,"2,342–2,489 networks","6,248–6,295 networks")))</x:f>
        <x:v>133–135 networks</x:v>
      </x:c>
      <x:c r="K115" s="12" t="n">
        <x:f>IF(OR(H115&lt;6,H115&gt;=22),1,0)</x:f>
        <x:v>0</x:v>
      </x:c>
      <x:c r="L115" s="12" t="n">
        <x:f>IF(COUNTIF($A$2:$A$186,A115)&gt;1,1,0)</x:f>
        <x:v>0</x:v>
      </x:c>
      <x:c r="M115" s="12" t="n">
        <x:f>IF(OR(I115="Saturday",I115="Sunday"),1,0)</x:f>
        <x:v>0</x:v>
      </x:c>
      <x:c r="N115" s="23" t="n">
        <x:v>217.06</x:v>
      </x:c>
      <x:c r="O115" s="16" t="n">
        <x:f>IF(AND(N115&lt;&gt;"",N115&lt;=60),1,0)</x:f>
        <x:v>0</x:v>
      </x:c>
    </x:row>
    <x:row r="116">
      <x:c r="A116" s="11" t="str">
        <x:v>36418529-b099-42db-91fe-cd6ea7920401</x:v>
      </x:c>
      <x:c r="B116" s="12" t="str">
        <x:v>***</x:v>
      </x:c>
      <x:c r="C116" s="13" t="str">
        <x:v>UTC 2026-07-27T19:51:20.505Z</x:v>
      </x:c>
      <x:c r="D116" s="14" t="n">
        <x:v>2463</x:v>
      </x:c>
      <x:c r="E116" s="12" t="str">
        <x:v>Investigation</x:v>
      </x:c>
      <x:c r="F116" s="12" t="str">
        <x:v>2026-07-27 14:51:20 CDT</x:v>
      </x:c>
      <x:c r="G116" s="12" t="str">
        <x:v>2026-07-27</x:v>
      </x:c>
      <x:c r="H116" s="15" t="n">
        <x:v>14</x:v>
      </x:c>
      <x:c r="I116" s="12" t="str">
        <x:v>Monday</x:v>
      </x:c>
      <x:c r="J116" s="12" t="str">
        <x:f>IF(D116=1,"1 network",IF(D116&lt;=135,"133–135 networks",IF(D116&lt;6000,"2,342–2,489 networks","6,248–6,295 networks")))</x:f>
        <x:v>2,342–2,489 networks</x:v>
      </x:c>
      <x:c r="K116" s="12" t="n">
        <x:f>IF(OR(H116&lt;6,H116&gt;=22),1,0)</x:f>
        <x:v>0</x:v>
      </x:c>
      <x:c r="L116" s="12" t="n">
        <x:f>IF(COUNTIF($A$2:$A$186,A116)&gt;1,1,0)</x:f>
        <x:v>0</x:v>
      </x:c>
      <x:c r="M116" s="12" t="n">
        <x:f>IF(OR(I116="Saturday",I116="Sunday"),1,0)</x:f>
        <x:v>0</x:v>
      </x:c>
      <x:c r="N116" s="23" t="n">
        <x:v>2575.493</x:v>
      </x:c>
      <x:c r="O116" s="16" t="n">
        <x:f>IF(AND(N116&lt;&gt;"",N116&lt;=60),1,0)</x:f>
        <x:v>0</x:v>
      </x:c>
    </x:row>
    <x:row r="117">
      <x:c r="A117" s="11" t="str">
        <x:v>10727236-77ed-4f8f-8f91-1fbfffae8f4f</x:v>
      </x:c>
      <x:c r="B117" s="12" t="str">
        <x:v>***</x:v>
      </x:c>
      <x:c r="C117" s="13" t="str">
        <x:v>UTC 2026-07-28T00:04:33.572Z</x:v>
      </x:c>
      <x:c r="D117" s="14" t="n">
        <x:v>2463</x:v>
      </x:c>
      <x:c r="E117" s="12" t="str">
        <x:v>Investigation</x:v>
      </x:c>
      <x:c r="F117" s="12" t="str">
        <x:v>2026-07-27 19:04:33 CDT</x:v>
      </x:c>
      <x:c r="G117" s="12" t="str">
        <x:v>2026-07-27</x:v>
      </x:c>
      <x:c r="H117" s="15" t="n">
        <x:v>19</x:v>
      </x:c>
      <x:c r="I117" s="12" t="str">
        <x:v>Monday</x:v>
      </x:c>
      <x:c r="J117" s="12" t="str">
        <x:f>IF(D117=1,"1 network",IF(D117&lt;=135,"133–135 networks",IF(D117&lt;6000,"2,342–2,489 networks","6,248–6,295 networks")))</x:f>
        <x:v>2,342–2,489 networks</x:v>
      </x:c>
      <x:c r="K117" s="12" t="n">
        <x:f>IF(OR(H117&lt;6,H117&gt;=22),1,0)</x:f>
        <x:v>0</x:v>
      </x:c>
      <x:c r="L117" s="12" t="n">
        <x:f>IF(COUNTIF($A$2:$A$186,A117)&gt;1,1,0)</x:f>
        <x:v>0</x:v>
      </x:c>
      <x:c r="M117" s="12" t="n">
        <x:f>IF(OR(I117="Saturday",I117="Sunday"),1,0)</x:f>
        <x:v>0</x:v>
      </x:c>
      <x:c r="N117" s="23" t="n">
        <x:v>15193.067</x:v>
      </x:c>
      <x:c r="O117" s="16" t="n">
        <x:f>IF(AND(N117&lt;&gt;"",N117&lt;=60),1,0)</x:f>
        <x:v>0</x:v>
      </x:c>
    </x:row>
    <x:row r="118">
      <x:c r="A118" s="11" t="str">
        <x:v>052dcf60-e048-46ca-9e1f-7be3ba75793d</x:v>
      </x:c>
      <x:c r="B118" s="12" t="str">
        <x:v>***</x:v>
      </x:c>
      <x:c r="C118" s="13" t="str">
        <x:v>UTC 2026-07-28T00:05:20.911Z</x:v>
      </x:c>
      <x:c r="D118" s="14" t="n">
        <x:v>1</x:v>
      </x:c>
      <x:c r="E118" s="12" t="str">
        <x:v>Investigation</x:v>
      </x:c>
      <x:c r="F118" s="12" t="str">
        <x:v>2026-07-27 19:05:20 CDT</x:v>
      </x:c>
      <x:c r="G118" s="12" t="str">
        <x:v>2026-07-27</x:v>
      </x:c>
      <x:c r="H118" s="15" t="n">
        <x:v>19</x:v>
      </x:c>
      <x:c r="I118" s="12" t="str">
        <x:v>Monday</x:v>
      </x:c>
      <x:c r="J118" s="12" t="str">
        <x:f>IF(D118=1,"1 network",IF(D118&lt;=135,"133–135 networks",IF(D118&lt;6000,"2,342–2,489 networks","6,248–6,295 networks")))</x:f>
        <x:v>1 network</x:v>
      </x:c>
      <x:c r="K118" s="12" t="n">
        <x:f>IF(OR(H118&lt;6,H118&gt;=22),1,0)</x:f>
        <x:v>0</x:v>
      </x:c>
      <x:c r="L118" s="12" t="n">
        <x:f>IF(COUNTIF($A$2:$A$186,A118)&gt;1,1,0)</x:f>
        <x:v>0</x:v>
      </x:c>
      <x:c r="M118" s="12" t="n">
        <x:f>IF(OR(I118="Saturday",I118="Sunday"),1,0)</x:f>
        <x:v>0</x:v>
      </x:c>
      <x:c r="N118" s="23" t="n">
        <x:v>47.339</x:v>
      </x:c>
      <x:c r="O118" s="16" t="n">
        <x:f>IF(AND(N118&lt;&gt;"",N118&lt;=60),1,0)</x:f>
        <x:v>1</x:v>
      </x:c>
    </x:row>
    <x:row r="119">
      <x:c r="A119" s="11" t="str">
        <x:v>67352b9d-ffc4-4482-b97f-072e7e819bd0</x:v>
      </x:c>
      <x:c r="B119" s="12" t="str">
        <x:v>***</x:v>
      </x:c>
      <x:c r="C119" s="13" t="str">
        <x:v>UTC 2026-07-28T15:46:02.031Z</x:v>
      </x:c>
      <x:c r="D119" s="14" t="n">
        <x:v>6282</x:v>
      </x:c>
      <x:c r="E119" s="12" t="str">
        <x:v>Investigation</x:v>
      </x:c>
      <x:c r="F119" s="12" t="str">
        <x:v>2026-07-28 10:46:02 CDT</x:v>
      </x:c>
      <x:c r="G119" s="12" t="str">
        <x:v>2026-07-28</x:v>
      </x:c>
      <x:c r="H119" s="15" t="n">
        <x:v>10</x:v>
      </x:c>
      <x:c r="I119" s="12" t="str">
        <x:v>Tuesday</x:v>
      </x:c>
      <x:c r="J119" s="12" t="str">
        <x:f>IF(D119=1,"1 network",IF(D119&lt;=135,"133–135 networks",IF(D119&lt;6000,"2,342–2,489 networks","6,248–6,295 networks")))</x:f>
        <x:v>6,248–6,295 networks</x:v>
      </x:c>
      <x:c r="K119" s="12" t="n">
        <x:f>IF(OR(H119&lt;6,H119&gt;=22),1,0)</x:f>
        <x:v>0</x:v>
      </x:c>
      <x:c r="L119" s="12" t="n">
        <x:f>IF(COUNTIF($A$2:$A$186,A119)&gt;1,1,0)</x:f>
        <x:v>0</x:v>
      </x:c>
      <x:c r="M119" s="12" t="n">
        <x:f>IF(OR(I119="Saturday",I119="Sunday"),1,0)</x:f>
        <x:v>0</x:v>
      </x:c>
      <x:c r="N119" s="23" t="n">
        <x:v>56441.12</x:v>
      </x:c>
      <x:c r="O119" s="16" t="n">
        <x:f>IF(AND(N119&lt;&gt;"",N119&lt;=60),1,0)</x:f>
        <x:v>0</x:v>
      </x:c>
    </x:row>
    <x:row r="120">
      <x:c r="A120" s="11" t="str">
        <x:v>b1d1df3d-3a1a-4d32-8bdb-20df2970575f</x:v>
      </x:c>
      <x:c r="B120" s="12" t="str">
        <x:v>***</x:v>
      </x:c>
      <x:c r="C120" s="13" t="str">
        <x:v>UTC 2026-07-28T16:20:27.745Z</x:v>
      </x:c>
      <x:c r="D120" s="14" t="n">
        <x:v>6282</x:v>
      </x:c>
      <x:c r="E120" s="12" t="str">
        <x:v>Investigation</x:v>
      </x:c>
      <x:c r="F120" s="12" t="str">
        <x:v>2026-07-28 11:20:27 CDT</x:v>
      </x:c>
      <x:c r="G120" s="12" t="str">
        <x:v>2026-07-28</x:v>
      </x:c>
      <x:c r="H120" s="15" t="n">
        <x:v>11</x:v>
      </x:c>
      <x:c r="I120" s="12" t="str">
        <x:v>Tuesday</x:v>
      </x:c>
      <x:c r="J120" s="12" t="str">
        <x:f>IF(D120=1,"1 network",IF(D120&lt;=135,"133–135 networks",IF(D120&lt;6000,"2,342–2,489 networks","6,248–6,295 networks")))</x:f>
        <x:v>6,248–6,295 networks</x:v>
      </x:c>
      <x:c r="K120" s="12" t="n">
        <x:f>IF(OR(H120&lt;6,H120&gt;=22),1,0)</x:f>
        <x:v>0</x:v>
      </x:c>
      <x:c r="L120" s="12" t="n">
        <x:f>IF(COUNTIF($A$2:$A$186,A120)&gt;1,1,0)</x:f>
        <x:v>0</x:v>
      </x:c>
      <x:c r="M120" s="12" t="n">
        <x:f>IF(OR(I120="Saturday",I120="Sunday"),1,0)</x:f>
        <x:v>0</x:v>
      </x:c>
      <x:c r="N120" s="23" t="n">
        <x:v>2065.714</x:v>
      </x:c>
      <x:c r="O120" s="16" t="n">
        <x:f>IF(AND(N120&lt;&gt;"",N120&lt;=60),1,0)</x:f>
        <x:v>0</x:v>
      </x:c>
    </x:row>
    <x:row r="121">
      <x:c r="A121" s="11" t="str">
        <x:v>52ae5d69-d9e0-4845-8c7d-4511137a9474</x:v>
      </x:c>
      <x:c r="B121" s="12" t="str">
        <x:v>***</x:v>
      </x:c>
      <x:c r="C121" s="13" t="str">
        <x:v>UTC 2026-07-28T18:18:37.630Z</x:v>
      </x:c>
      <x:c r="D121" s="14" t="n">
        <x:v>2385</x:v>
      </x:c>
      <x:c r="E121" s="12" t="str">
        <x:v>Investigation</x:v>
      </x:c>
      <x:c r="F121" s="12" t="str">
        <x:v>2026-07-28 13:18:37 CDT</x:v>
      </x:c>
      <x:c r="G121" s="12" t="str">
        <x:v>2026-07-28</x:v>
      </x:c>
      <x:c r="H121" s="15" t="n">
        <x:v>13</x:v>
      </x:c>
      <x:c r="I121" s="12" t="str">
        <x:v>Tuesday</x:v>
      </x:c>
      <x:c r="J121" s="12" t="str">
        <x:f>IF(D121=1,"1 network",IF(D121&lt;=135,"133–135 networks",IF(D121&lt;6000,"2,342–2,489 networks","6,248–6,295 networks")))</x:f>
        <x:v>2,342–2,489 networks</x:v>
      </x:c>
      <x:c r="K121" s="12" t="n">
        <x:f>IF(OR(H121&lt;6,H121&gt;=22),1,0)</x:f>
        <x:v>0</x:v>
      </x:c>
      <x:c r="L121" s="12" t="n">
        <x:f>IF(COUNTIF($A$2:$A$186,A121)&gt;1,1,0)</x:f>
        <x:v>0</x:v>
      </x:c>
      <x:c r="M121" s="12" t="n">
        <x:f>IF(OR(I121="Saturday",I121="Sunday"),1,0)</x:f>
        <x:v>0</x:v>
      </x:c>
      <x:c r="N121" s="23" t="n">
        <x:v>7089.885</x:v>
      </x:c>
      <x:c r="O121" s="16" t="n">
        <x:f>IF(AND(N121&lt;&gt;"",N121&lt;=60),1,0)</x:f>
        <x:v>0</x:v>
      </x:c>
    </x:row>
    <x:row r="122">
      <x:c r="A122" s="11" t="str">
        <x:v>c20faed3-a14c-48e9-b742-3d2b48c30028</x:v>
      </x:c>
      <x:c r="B122" s="12" t="str">
        <x:v>***</x:v>
      </x:c>
      <x:c r="C122" s="13" t="str">
        <x:v>UTC 2026-07-28T18:46:08.342Z</x:v>
      </x:c>
      <x:c r="D122" s="14" t="n">
        <x:v>2463</x:v>
      </x:c>
      <x:c r="E122" s="12" t="str">
        <x:v>Investigation</x:v>
      </x:c>
      <x:c r="F122" s="12" t="str">
        <x:v>2026-07-28 13:46:08 CDT</x:v>
      </x:c>
      <x:c r="G122" s="12" t="str">
        <x:v>2026-07-28</x:v>
      </x:c>
      <x:c r="H122" s="15" t="n">
        <x:v>13</x:v>
      </x:c>
      <x:c r="I122" s="12" t="str">
        <x:v>Tuesday</x:v>
      </x:c>
      <x:c r="J122" s="12" t="str">
        <x:f>IF(D122=1,"1 network",IF(D122&lt;=135,"133–135 networks",IF(D122&lt;6000,"2,342–2,489 networks","6,248–6,295 networks")))</x:f>
        <x:v>2,342–2,489 networks</x:v>
      </x:c>
      <x:c r="K122" s="12" t="n">
        <x:f>IF(OR(H122&lt;6,H122&gt;=22),1,0)</x:f>
        <x:v>0</x:v>
      </x:c>
      <x:c r="L122" s="12" t="n">
        <x:f>IF(COUNTIF($A$2:$A$186,A122)&gt;1,1,0)</x:f>
        <x:v>0</x:v>
      </x:c>
      <x:c r="M122" s="12" t="n">
        <x:f>IF(OR(I122="Saturday",I122="Sunday"),1,0)</x:f>
        <x:v>0</x:v>
      </x:c>
      <x:c r="N122" s="23" t="n">
        <x:v>1650.712</x:v>
      </x:c>
      <x:c r="O122" s="16" t="n">
        <x:f>IF(AND(N122&lt;&gt;"",N122&lt;=60),1,0)</x:f>
        <x:v>0</x:v>
      </x:c>
    </x:row>
    <x:row r="123">
      <x:c r="A123" s="11" t="str">
        <x:v>aa2300a4-e943-40ee-a981-939221e54efd</x:v>
      </x:c>
      <x:c r="B123" s="12" t="str">
        <x:v>***</x:v>
      </x:c>
      <x:c r="C123" s="13" t="str">
        <x:v>UTC 2026-07-28T20:55:35.562Z</x:v>
      </x:c>
      <x:c r="D123" s="14" t="n">
        <x:v>1</x:v>
      </x:c>
      <x:c r="E123" s="12" t="str">
        <x:v>Investigation</x:v>
      </x:c>
      <x:c r="F123" s="12" t="str">
        <x:v>2026-07-28 15:55:35 CDT</x:v>
      </x:c>
      <x:c r="G123" s="12" t="str">
        <x:v>2026-07-28</x:v>
      </x:c>
      <x:c r="H123" s="15" t="n">
        <x:v>15</x:v>
      </x:c>
      <x:c r="I123" s="12" t="str">
        <x:v>Tuesday</x:v>
      </x:c>
      <x:c r="J123" s="12" t="str">
        <x:f>IF(D123=1,"1 network",IF(D123&lt;=135,"133–135 networks",IF(D123&lt;6000,"2,342–2,489 networks","6,248–6,295 networks")))</x:f>
        <x:v>1 network</x:v>
      </x:c>
      <x:c r="K123" s="12" t="n">
        <x:f>IF(OR(H123&lt;6,H123&gt;=22),1,0)</x:f>
        <x:v>0</x:v>
      </x:c>
      <x:c r="L123" s="12" t="n">
        <x:f>IF(COUNTIF($A$2:$A$186,A123)&gt;1,1,0)</x:f>
        <x:v>0</x:v>
      </x:c>
      <x:c r="M123" s="12" t="n">
        <x:f>IF(OR(I123="Saturday",I123="Sunday"),1,0)</x:f>
        <x:v>0</x:v>
      </x:c>
      <x:c r="N123" s="23" t="n">
        <x:v>7767.22</x:v>
      </x:c>
      <x:c r="O123" s="16" t="n">
        <x:f>IF(AND(N123&lt;&gt;"",N123&lt;=60),1,0)</x:f>
        <x:v>0</x:v>
      </x:c>
    </x:row>
    <x:row r="124">
      <x:c r="A124" s="11" t="str">
        <x:v>fcfa11f1-ac0d-4f69-9df2-31187fc7d445</x:v>
      </x:c>
      <x:c r="B124" s="12" t="str">
        <x:v>***</x:v>
      </x:c>
      <x:c r="C124" s="13" t="str">
        <x:v>UTC 2026-07-29T12:45:48.791Z</x:v>
      </x:c>
      <x:c r="D124" s="14" t="n">
        <x:v>2459</x:v>
      </x:c>
      <x:c r="E124" s="12" t="str">
        <x:v>Investigation</x:v>
      </x:c>
      <x:c r="F124" s="12" t="str">
        <x:v>2026-07-29 07:45:48 CDT</x:v>
      </x:c>
      <x:c r="G124" s="12" t="str">
        <x:v>2026-07-29</x:v>
      </x:c>
      <x:c r="H124" s="15" t="n">
        <x:v>7</x:v>
      </x:c>
      <x:c r="I124" s="12" t="str">
        <x:v>Wednesday</x:v>
      </x:c>
      <x:c r="J124" s="12" t="str">
        <x:f>IF(D124=1,"1 network",IF(D124&lt;=135,"133–135 networks",IF(D124&lt;6000,"2,342–2,489 networks","6,248–6,295 networks")))</x:f>
        <x:v>2,342–2,489 networks</x:v>
      </x:c>
      <x:c r="K124" s="12" t="n">
        <x:f>IF(OR(H124&lt;6,H124&gt;=22),1,0)</x:f>
        <x:v>0</x:v>
      </x:c>
      <x:c r="L124" s="12" t="n">
        <x:f>IF(COUNTIF($A$2:$A$186,A124)&gt;1,1,0)</x:f>
        <x:v>0</x:v>
      </x:c>
      <x:c r="M124" s="12" t="n">
        <x:f>IF(OR(I124="Saturday",I124="Sunday"),1,0)</x:f>
        <x:v>0</x:v>
      </x:c>
      <x:c r="N124" s="23" t="n">
        <x:v>57013.229</x:v>
      </x:c>
      <x:c r="O124" s="16" t="n">
        <x:f>IF(AND(N124&lt;&gt;"",N124&lt;=60),1,0)</x:f>
        <x:v>0</x:v>
      </x:c>
    </x:row>
    <x:row r="125">
      <x:c r="A125" s="11" t="str">
        <x:v>3448bc1a-b600-4474-bf3e-72bccae5fb1f</x:v>
      </x:c>
      <x:c r="B125" s="12" t="str">
        <x:v>***</x:v>
      </x:c>
      <x:c r="C125" s="13" t="str">
        <x:v>UTC 2026-07-29T13:05:49.334Z</x:v>
      </x:c>
      <x:c r="D125" s="14" t="n">
        <x:v>2459</x:v>
      </x:c>
      <x:c r="E125" s="12" t="str">
        <x:v>Investigation</x:v>
      </x:c>
      <x:c r="F125" s="12" t="str">
        <x:v>2026-07-29 08:05:49 CDT</x:v>
      </x:c>
      <x:c r="G125" s="12" t="str">
        <x:v>2026-07-29</x:v>
      </x:c>
      <x:c r="H125" s="15" t="n">
        <x:v>8</x:v>
      </x:c>
      <x:c r="I125" s="12" t="str">
        <x:v>Wednesday</x:v>
      </x:c>
      <x:c r="J125" s="12" t="str">
        <x:f>IF(D125=1,"1 network",IF(D125&lt;=135,"133–135 networks",IF(D125&lt;6000,"2,342–2,489 networks","6,248–6,295 networks")))</x:f>
        <x:v>2,342–2,489 networks</x:v>
      </x:c>
      <x:c r="K125" s="12" t="n">
        <x:f>IF(OR(H125&lt;6,H125&gt;=22),1,0)</x:f>
        <x:v>0</x:v>
      </x:c>
      <x:c r="L125" s="12" t="n">
        <x:f>IF(COUNTIF($A$2:$A$186,A125)&gt;1,1,0)</x:f>
        <x:v>0</x:v>
      </x:c>
      <x:c r="M125" s="12" t="n">
        <x:f>IF(OR(I125="Saturday",I125="Sunday"),1,0)</x:f>
        <x:v>0</x:v>
      </x:c>
      <x:c r="N125" s="23" t="n">
        <x:v>1200.543</x:v>
      </x:c>
      <x:c r="O125" s="16" t="n">
        <x:f>IF(AND(N125&lt;&gt;"",N125&lt;=60),1,0)</x:f>
        <x:v>0</x:v>
      </x:c>
    </x:row>
    <x:row r="126">
      <x:c r="A126" s="11" t="str">
        <x:v>15af6e43-8113-40f2-8d29-6c22457f0ce1</x:v>
      </x:c>
      <x:c r="B126" s="12" t="str">
        <x:v>***</x:v>
      </x:c>
      <x:c r="C126" s="13" t="str">
        <x:v>UTC 2026-07-29T19:55:56.353Z</x:v>
      </x:c>
      <x:c r="D126" s="14" t="n">
        <x:v>134</x:v>
      </x:c>
      <x:c r="E126" s="12" t="str">
        <x:v>Investigation</x:v>
      </x:c>
      <x:c r="F126" s="12" t="str">
        <x:v>2026-07-29 14:55:56 CDT</x:v>
      </x:c>
      <x:c r="G126" s="12" t="str">
        <x:v>2026-07-29</x:v>
      </x:c>
      <x:c r="H126" s="15" t="n">
        <x:v>14</x:v>
      </x:c>
      <x:c r="I126" s="12" t="str">
        <x:v>Wednesday</x:v>
      </x:c>
      <x:c r="J126" s="12" t="str">
        <x:f>IF(D126=1,"1 network",IF(D126&lt;=135,"133–135 networks",IF(D126&lt;6000,"2,342–2,489 networks","6,248–6,295 networks")))</x:f>
        <x:v>133–135 networks</x:v>
      </x:c>
      <x:c r="K126" s="12" t="n">
        <x:f>IF(OR(H126&lt;6,H126&gt;=22),1,0)</x:f>
        <x:v>0</x:v>
      </x:c>
      <x:c r="L126" s="12" t="n">
        <x:f>IF(COUNTIF($A$2:$A$186,A126)&gt;1,1,0)</x:f>
        <x:v>0</x:v>
      </x:c>
      <x:c r="M126" s="12" t="n">
        <x:f>IF(OR(I126="Saturday",I126="Sunday"),1,0)</x:f>
        <x:v>0</x:v>
      </x:c>
      <x:c r="N126" s="23" t="n">
        <x:v>24607.019</x:v>
      </x:c>
      <x:c r="O126" s="16" t="n">
        <x:f>IF(AND(N126&lt;&gt;"",N126&lt;=60),1,0)</x:f>
        <x:v>0</x:v>
      </x:c>
    </x:row>
    <x:row r="127">
      <x:c r="A127" s="11" t="str">
        <x:v>8d16f41f-22b9-4530-b2c9-bd9ad3f484b9</x:v>
      </x:c>
      <x:c r="B127" s="12" t="str">
        <x:v>***</x:v>
      </x:c>
      <x:c r="C127" s="13" t="str">
        <x:v>UTC 2026-07-29T23:43:54.739Z</x:v>
      </x:c>
      <x:c r="D127" s="14" t="n">
        <x:v>134</x:v>
      </x:c>
      <x:c r="E127" s="12" t="str">
        <x:v>Investigation</x:v>
      </x:c>
      <x:c r="F127" s="12" t="str">
        <x:v>2026-07-29 18:43:54 CDT</x:v>
      </x:c>
      <x:c r="G127" s="12" t="str">
        <x:v>2026-07-29</x:v>
      </x:c>
      <x:c r="H127" s="15" t="n">
        <x:v>18</x:v>
      </x:c>
      <x:c r="I127" s="12" t="str">
        <x:v>Wednesday</x:v>
      </x:c>
      <x:c r="J127" s="12" t="str">
        <x:f>IF(D127=1,"1 network",IF(D127&lt;=135,"133–135 networks",IF(D127&lt;6000,"2,342–2,489 networks","6,248–6,295 networks")))</x:f>
        <x:v>133–135 networks</x:v>
      </x:c>
      <x:c r="K127" s="12" t="n">
        <x:f>IF(OR(H127&lt;6,H127&gt;=22),1,0)</x:f>
        <x:v>0</x:v>
      </x:c>
      <x:c r="L127" s="12" t="n">
        <x:f>IF(COUNTIF($A$2:$A$186,A127)&gt;1,1,0)</x:f>
        <x:v>0</x:v>
      </x:c>
      <x:c r="M127" s="12" t="n">
        <x:f>IF(OR(I127="Saturday",I127="Sunday"),1,0)</x:f>
        <x:v>0</x:v>
      </x:c>
      <x:c r="N127" s="23" t="n">
        <x:v>13678.386</x:v>
      </x:c>
      <x:c r="O127" s="16" t="n">
        <x:f>IF(AND(N127&lt;&gt;"",N127&lt;=60),1,0)</x:f>
        <x:v>0</x:v>
      </x:c>
    </x:row>
    <x:row r="128">
      <x:c r="A128" s="11" t="str">
        <x:v>42a33544-3ab2-4caa-9fc3-3ef995ab2e94</x:v>
      </x:c>
      <x:c r="B128" s="12" t="str">
        <x:v>***</x:v>
      </x:c>
      <x:c r="C128" s="13" t="str">
        <x:v>UTC 2026-07-30T14:04:11.763Z</x:v>
      </x:c>
      <x:c r="D128" s="14" t="n">
        <x:v>2454</x:v>
      </x:c>
      <x:c r="E128" s="12" t="str">
        <x:v>Investigation</x:v>
      </x:c>
      <x:c r="F128" s="12" t="str">
        <x:v>2026-07-30 09:04:11 CDT</x:v>
      </x:c>
      <x:c r="G128" s="12" t="str">
        <x:v>2026-07-30</x:v>
      </x:c>
      <x:c r="H128" s="15" t="n">
        <x:v>9</x:v>
      </x:c>
      <x:c r="I128" s="12" t="str">
        <x:v>Thursday</x:v>
      </x:c>
      <x:c r="J128" s="12" t="str">
        <x:f>IF(D128=1,"1 network",IF(D128&lt;=135,"133–135 networks",IF(D128&lt;6000,"2,342–2,489 networks","6,248–6,295 networks")))</x:f>
        <x:v>2,342–2,489 networks</x:v>
      </x:c>
      <x:c r="K128" s="12" t="n">
        <x:f>IF(OR(H128&lt;6,H128&gt;=22),1,0)</x:f>
        <x:v>0</x:v>
      </x:c>
      <x:c r="L128" s="12" t="n">
        <x:f>IF(COUNTIF($A$2:$A$186,A128)&gt;1,1,0)</x:f>
        <x:v>0</x:v>
      </x:c>
      <x:c r="M128" s="12" t="n">
        <x:f>IF(OR(I128="Saturday",I128="Sunday"),1,0)</x:f>
        <x:v>0</x:v>
      </x:c>
      <x:c r="N128" s="23" t="n">
        <x:v>51617.024</x:v>
      </x:c>
      <x:c r="O128" s="16" t="n">
        <x:f>IF(AND(N128&lt;&gt;"",N128&lt;=60),1,0)</x:f>
        <x:v>0</x:v>
      </x:c>
    </x:row>
    <x:row r="129">
      <x:c r="A129" s="11" t="str">
        <x:v>cf0ea2c0-149e-45cc-8b72-cd04b87aa653</x:v>
      </x:c>
      <x:c r="B129" s="12" t="str">
        <x:v>***</x:v>
      </x:c>
      <x:c r="C129" s="13" t="str">
        <x:v>UTC 2026-07-30T14:09:03.861Z</x:v>
      </x:c>
      <x:c r="D129" s="14" t="n">
        <x:v>134</x:v>
      </x:c>
      <x:c r="E129" s="12" t="str">
        <x:v>Investigation</x:v>
      </x:c>
      <x:c r="F129" s="12" t="str">
        <x:v>2026-07-30 09:09:03 CDT</x:v>
      </x:c>
      <x:c r="G129" s="12" t="str">
        <x:v>2026-07-30</x:v>
      </x:c>
      <x:c r="H129" s="15" t="n">
        <x:v>9</x:v>
      </x:c>
      <x:c r="I129" s="12" t="str">
        <x:v>Thursday</x:v>
      </x:c>
      <x:c r="J129" s="12" t="str">
        <x:f>IF(D129=1,"1 network",IF(D129&lt;=135,"133–135 networks",IF(D129&lt;6000,"2,342–2,489 networks","6,248–6,295 networks")))</x:f>
        <x:v>133–135 networks</x:v>
      </x:c>
      <x:c r="K129" s="12" t="n">
        <x:f>IF(OR(H129&lt;6,H129&gt;=22),1,0)</x:f>
        <x:v>0</x:v>
      </x:c>
      <x:c r="L129" s="12" t="n">
        <x:f>IF(COUNTIF($A$2:$A$186,A129)&gt;1,1,0)</x:f>
        <x:v>0</x:v>
      </x:c>
      <x:c r="M129" s="12" t="n">
        <x:f>IF(OR(I129="Saturday",I129="Sunday"),1,0)</x:f>
        <x:v>0</x:v>
      </x:c>
      <x:c r="N129" s="23" t="n">
        <x:v>292.098</x:v>
      </x:c>
      <x:c r="O129" s="16" t="n">
        <x:f>IF(AND(N129&lt;&gt;"",N129&lt;=60),1,0)</x:f>
        <x:v>0</x:v>
      </x:c>
    </x:row>
    <x:row r="130">
      <x:c r="A130" s="11" t="str">
        <x:v>aa3554cf-e8da-4123-9bd4-be7cffb8ab7b</x:v>
      </x:c>
      <x:c r="B130" s="12" t="str">
        <x:v>***</x:v>
      </x:c>
      <x:c r="C130" s="13" t="str">
        <x:v>UTC 2026-07-30T16:47:33.304Z</x:v>
      </x:c>
      <x:c r="D130" s="14" t="n">
        <x:v>2376</x:v>
      </x:c>
      <x:c r="E130" s="12" t="str">
        <x:v>Investigation</x:v>
      </x:c>
      <x:c r="F130" s="12" t="str">
        <x:v>2026-07-30 11:47:33 CDT</x:v>
      </x:c>
      <x:c r="G130" s="12" t="str">
        <x:v>2026-07-30</x:v>
      </x:c>
      <x:c r="H130" s="15" t="n">
        <x:v>11</x:v>
      </x:c>
      <x:c r="I130" s="12" t="str">
        <x:v>Thursday</x:v>
      </x:c>
      <x:c r="J130" s="12" t="str">
        <x:f>IF(D130=1,"1 network",IF(D130&lt;=135,"133–135 networks",IF(D130&lt;6000,"2,342–2,489 networks","6,248–6,295 networks")))</x:f>
        <x:v>2,342–2,489 networks</x:v>
      </x:c>
      <x:c r="K130" s="12" t="n">
        <x:f>IF(OR(H130&lt;6,H130&gt;=22),1,0)</x:f>
        <x:v>0</x:v>
      </x:c>
      <x:c r="L130" s="12" t="n">
        <x:f>IF(COUNTIF($A$2:$A$186,A130)&gt;1,1,0)</x:f>
        <x:v>0</x:v>
      </x:c>
      <x:c r="M130" s="12" t="n">
        <x:f>IF(OR(I130="Saturday",I130="Sunday"),1,0)</x:f>
        <x:v>0</x:v>
      </x:c>
      <x:c r="N130" s="23" t="n">
        <x:v>9509.443</x:v>
      </x:c>
      <x:c r="O130" s="16" t="n">
        <x:f>IF(AND(N130&lt;&gt;"",N130&lt;=60),1,0)</x:f>
        <x:v>0</x:v>
      </x:c>
    </x:row>
    <x:row r="131">
      <x:c r="A131" s="11" t="str">
        <x:v>3b78ece0-832e-4b53-b720-6266df81a70c</x:v>
      </x:c>
      <x:c r="B131" s="12" t="str">
        <x:v>***</x:v>
      </x:c>
      <x:c r="C131" s="13" t="str">
        <x:v>UTC 2026-07-30T17:06:12.692Z</x:v>
      </x:c>
      <x:c r="D131" s="14" t="n">
        <x:v>1</x:v>
      </x:c>
      <x:c r="E131" s="12" t="str">
        <x:v>Investigation</x:v>
      </x:c>
      <x:c r="F131" s="12" t="str">
        <x:v>2026-07-30 12:06:12 CDT</x:v>
      </x:c>
      <x:c r="G131" s="12" t="str">
        <x:v>2026-07-30</x:v>
      </x:c>
      <x:c r="H131" s="15" t="n">
        <x:v>12</x:v>
      </x:c>
      <x:c r="I131" s="12" t="str">
        <x:v>Thursday</x:v>
      </x:c>
      <x:c r="J131" s="12" t="str">
        <x:f>IF(D131=1,"1 network",IF(D131&lt;=135,"133–135 networks",IF(D131&lt;6000,"2,342–2,489 networks","6,248–6,295 networks")))</x:f>
        <x:v>1 network</x:v>
      </x:c>
      <x:c r="K131" s="12" t="n">
        <x:f>IF(OR(H131&lt;6,H131&gt;=22),1,0)</x:f>
        <x:v>0</x:v>
      </x:c>
      <x:c r="L131" s="12" t="n">
        <x:f>IF(COUNTIF($A$2:$A$186,A131)&gt;1,1,0)</x:f>
        <x:v>0</x:v>
      </x:c>
      <x:c r="M131" s="12" t="n">
        <x:f>IF(OR(I131="Saturday",I131="Sunday"),1,0)</x:f>
        <x:v>0</x:v>
      </x:c>
      <x:c r="N131" s="23" t="n">
        <x:v>1119.388</x:v>
      </x:c>
      <x:c r="O131" s="16" t="n">
        <x:f>IF(AND(N131&lt;&gt;"",N131&lt;=60),1,0)</x:f>
        <x:v>0</x:v>
      </x:c>
    </x:row>
    <x:row r="132">
      <x:c r="A132" s="11" t="str">
        <x:v>31bf058b-d0e4-4d30-98a0-0563eb6e069e</x:v>
      </x:c>
      <x:c r="B132" s="12" t="str">
        <x:v>***</x:v>
      </x:c>
      <x:c r="C132" s="13" t="str">
        <x:v>UTC 2026-07-30T18:03:38.087Z</x:v>
      </x:c>
      <x:c r="D132" s="14" t="n">
        <x:v>2453</x:v>
      </x:c>
      <x:c r="E132" s="12" t="str">
        <x:v>Investigation</x:v>
      </x:c>
      <x:c r="F132" s="12" t="str">
        <x:v>2026-07-30 13:03:38 CDT</x:v>
      </x:c>
      <x:c r="G132" s="12" t="str">
        <x:v>2026-07-30</x:v>
      </x:c>
      <x:c r="H132" s="15" t="n">
        <x:v>13</x:v>
      </x:c>
      <x:c r="I132" s="12" t="str">
        <x:v>Thursday</x:v>
      </x:c>
      <x:c r="J132" s="12" t="str">
        <x:f>IF(D132=1,"1 network",IF(D132&lt;=135,"133–135 networks",IF(D132&lt;6000,"2,342–2,489 networks","6,248–6,295 networks")))</x:f>
        <x:v>2,342–2,489 networks</x:v>
      </x:c>
      <x:c r="K132" s="12" t="n">
        <x:f>IF(OR(H132&lt;6,H132&gt;=22),1,0)</x:f>
        <x:v>0</x:v>
      </x:c>
      <x:c r="L132" s="12" t="n">
        <x:f>IF(COUNTIF($A$2:$A$186,A132)&gt;1,1,0)</x:f>
        <x:v>0</x:v>
      </x:c>
      <x:c r="M132" s="12" t="n">
        <x:f>IF(OR(I132="Saturday",I132="Sunday"),1,0)</x:f>
        <x:v>0</x:v>
      </x:c>
      <x:c r="N132" s="23" t="n">
        <x:v>3445.395</x:v>
      </x:c>
      <x:c r="O132" s="16" t="n">
        <x:f>IF(AND(N132&lt;&gt;"",N132&lt;=60),1,0)</x:f>
        <x:v>0</x:v>
      </x:c>
    </x:row>
    <x:row r="133">
      <x:c r="A133" s="11" t="str">
        <x:v>d21a35a2-77a9-42e0-a22f-1067da6b3d40</x:v>
      </x:c>
      <x:c r="B133" s="12" t="str">
        <x:v>***</x:v>
      </x:c>
      <x:c r="C133" s="13" t="str">
        <x:v>UTC 2026-07-31T00:18:35.846Z</x:v>
      </x:c>
      <x:c r="D133" s="14" t="n">
        <x:v>134</x:v>
      </x:c>
      <x:c r="E133" s="12" t="str">
        <x:v>Investigation</x:v>
      </x:c>
      <x:c r="F133" s="12" t="str">
        <x:v>2026-07-30 19:18:35 CDT</x:v>
      </x:c>
      <x:c r="G133" s="12" t="str">
        <x:v>2026-07-30</x:v>
      </x:c>
      <x:c r="H133" s="15" t="n">
        <x:v>19</x:v>
      </x:c>
      <x:c r="I133" s="12" t="str">
        <x:v>Thursday</x:v>
      </x:c>
      <x:c r="J133" s="12" t="str">
        <x:f>IF(D133=1,"1 network",IF(D133&lt;=135,"133–135 networks",IF(D133&lt;6000,"2,342–2,489 networks","6,248–6,295 networks")))</x:f>
        <x:v>133–135 networks</x:v>
      </x:c>
      <x:c r="K133" s="12" t="n">
        <x:f>IF(OR(H133&lt;6,H133&gt;=22),1,0)</x:f>
        <x:v>0</x:v>
      </x:c>
      <x:c r="L133" s="12" t="n">
        <x:f>IF(COUNTIF($A$2:$A$186,A133)&gt;1,1,0)</x:f>
        <x:v>0</x:v>
      </x:c>
      <x:c r="M133" s="12" t="n">
        <x:f>IF(OR(I133="Saturday",I133="Sunday"),1,0)</x:f>
        <x:v>0</x:v>
      </x:c>
      <x:c r="N133" s="23" t="n">
        <x:v>22497.759</x:v>
      </x:c>
      <x:c r="O133" s="16" t="n">
        <x:f>IF(AND(N133&lt;&gt;"",N133&lt;=60),1,0)</x:f>
        <x:v>0</x:v>
      </x:c>
    </x:row>
    <x:row r="134">
      <x:c r="A134" s="11" t="str">
        <x:v>31305ed3-09f3-422b-ad92-8b02ca0f9d74</x:v>
      </x:c>
      <x:c r="B134" s="12" t="str">
        <x:v>***</x:v>
      </x:c>
      <x:c r="C134" s="13" t="str">
        <x:v>UTC 2026-07-31T13:33:13.601Z</x:v>
      </x:c>
      <x:c r="D134" s="14" t="n">
        <x:v>2449</x:v>
      </x:c>
      <x:c r="E134" s="12" t="str">
        <x:v>Investigation</x:v>
      </x:c>
      <x:c r="F134" s="12" t="str">
        <x:v>2026-07-31 08:33:13 CDT</x:v>
      </x:c>
      <x:c r="G134" s="12" t="str">
        <x:v>2026-07-31</x:v>
      </x:c>
      <x:c r="H134" s="15" t="n">
        <x:v>8</x:v>
      </x:c>
      <x:c r="I134" s="12" t="str">
        <x:v>Friday</x:v>
      </x:c>
      <x:c r="J134" s="12" t="str">
        <x:f>IF(D134=1,"1 network",IF(D134&lt;=135,"133–135 networks",IF(D134&lt;6000,"2,342–2,489 networks","6,248–6,295 networks")))</x:f>
        <x:v>2,342–2,489 networks</x:v>
      </x:c>
      <x:c r="K134" s="12" t="n">
        <x:f>IF(OR(H134&lt;6,H134&gt;=22),1,0)</x:f>
        <x:v>0</x:v>
      </x:c>
      <x:c r="L134" s="12" t="n">
        <x:f>IF(COUNTIF($A$2:$A$186,A134)&gt;1,1,0)</x:f>
        <x:v>0</x:v>
      </x:c>
      <x:c r="M134" s="12" t="n">
        <x:f>IF(OR(I134="Saturday",I134="Sunday"),1,0)</x:f>
        <x:v>0</x:v>
      </x:c>
      <x:c r="N134" s="23" t="n">
        <x:v>47677.755</x:v>
      </x:c>
      <x:c r="O134" s="16" t="n">
        <x:f>IF(AND(N134&lt;&gt;"",N134&lt;=60),1,0)</x:f>
        <x:v>0</x:v>
      </x:c>
    </x:row>
    <x:row r="135">
      <x:c r="A135" s="11" t="str">
        <x:v>0c38a559-6002-405e-8091-9f135d14db91</x:v>
      </x:c>
      <x:c r="B135" s="12" t="str">
        <x:v>***</x:v>
      </x:c>
      <x:c r="C135" s="13" t="str">
        <x:v>UTC 2026-07-31T14:34:33.729Z</x:v>
      </x:c>
      <x:c r="D135" s="14" t="n">
        <x:v>1</x:v>
      </x:c>
      <x:c r="E135" s="12" t="str">
        <x:v>Investigation</x:v>
      </x:c>
      <x:c r="F135" s="12" t="str">
        <x:v>2026-07-31 09:34:33 CDT</x:v>
      </x:c>
      <x:c r="G135" s="12" t="str">
        <x:v>2026-07-31</x:v>
      </x:c>
      <x:c r="H135" s="15" t="n">
        <x:v>9</x:v>
      </x:c>
      <x:c r="I135" s="12" t="str">
        <x:v>Friday</x:v>
      </x:c>
      <x:c r="J135" s="12" t="str">
        <x:f>IF(D135=1,"1 network",IF(D135&lt;=135,"133–135 networks",IF(D135&lt;6000,"2,342–2,489 networks","6,248–6,295 networks")))</x:f>
        <x:v>1 network</x:v>
      </x:c>
      <x:c r="K135" s="12" t="n">
        <x:f>IF(OR(H135&lt;6,H135&gt;=22),1,0)</x:f>
        <x:v>0</x:v>
      </x:c>
      <x:c r="L135" s="12" t="n">
        <x:f>IF(COUNTIF($A$2:$A$186,A135)&gt;1,1,0)</x:f>
        <x:v>0</x:v>
      </x:c>
      <x:c r="M135" s="12" t="n">
        <x:f>IF(OR(I135="Saturday",I135="Sunday"),1,0)</x:f>
        <x:v>0</x:v>
      </x:c>
      <x:c r="N135" s="23" t="n">
        <x:v>3680.128</x:v>
      </x:c>
      <x:c r="O135" s="16" t="n">
        <x:f>IF(AND(N135&lt;&gt;"",N135&lt;=60),1,0)</x:f>
        <x:v>0</x:v>
      </x:c>
    </x:row>
    <x:row r="136">
      <x:c r="A136" s="11" t="str">
        <x:v>60a585dc-83ae-424f-9f19-10f75e60f160</x:v>
      </x:c>
      <x:c r="B136" s="12" t="str">
        <x:v>***</x:v>
      </x:c>
      <x:c r="C136" s="13" t="str">
        <x:v>UTC 2026-07-31T15:05:29.955Z</x:v>
      </x:c>
      <x:c r="D136" s="14" t="n">
        <x:v>1</x:v>
      </x:c>
      <x:c r="E136" s="12" t="str">
        <x:v>Investigation</x:v>
      </x:c>
      <x:c r="F136" s="12" t="str">
        <x:v>2026-07-31 10:05:29 CDT</x:v>
      </x:c>
      <x:c r="G136" s="12" t="str">
        <x:v>2026-07-31</x:v>
      </x:c>
      <x:c r="H136" s="15" t="n">
        <x:v>10</x:v>
      </x:c>
      <x:c r="I136" s="12" t="str">
        <x:v>Friday</x:v>
      </x:c>
      <x:c r="J136" s="12" t="str">
        <x:f>IF(D136=1,"1 network",IF(D136&lt;=135,"133–135 networks",IF(D136&lt;6000,"2,342–2,489 networks","6,248–6,295 networks")))</x:f>
        <x:v>1 network</x:v>
      </x:c>
      <x:c r="K136" s="12" t="n">
        <x:f>IF(OR(H136&lt;6,H136&gt;=22),1,0)</x:f>
        <x:v>0</x:v>
      </x:c>
      <x:c r="L136" s="12" t="n">
        <x:f>IF(COUNTIF($A$2:$A$186,A136)&gt;1,1,0)</x:f>
        <x:v>0</x:v>
      </x:c>
      <x:c r="M136" s="12" t="n">
        <x:f>IF(OR(I136="Saturday",I136="Sunday"),1,0)</x:f>
        <x:v>0</x:v>
      </x:c>
      <x:c r="N136" s="23" t="n">
        <x:v>1856.226</x:v>
      </x:c>
      <x:c r="O136" s="16" t="n">
        <x:f>IF(AND(N136&lt;&gt;"",N136&lt;=60),1,0)</x:f>
        <x:v>0</x:v>
      </x:c>
    </x:row>
    <x:row r="137">
      <x:c r="A137" s="11" t="str">
        <x:v>6c8e8c5b-04d9-4c9c-ae85-27e23ba2adc7</x:v>
      </x:c>
      <x:c r="B137" s="12" t="str">
        <x:v>***</x:v>
      </x:c>
      <x:c r="C137" s="13" t="str">
        <x:v>UTC 2026-07-31T16:08:42.534Z</x:v>
      </x:c>
      <x:c r="D137" s="14" t="n">
        <x:v>134</x:v>
      </x:c>
      <x:c r="E137" s="12" t="str">
        <x:v>Investigation</x:v>
      </x:c>
      <x:c r="F137" s="12" t="str">
        <x:v>2026-07-31 11:08:42 CDT</x:v>
      </x:c>
      <x:c r="G137" s="12" t="str">
        <x:v>2026-07-31</x:v>
      </x:c>
      <x:c r="H137" s="15" t="n">
        <x:v>11</x:v>
      </x:c>
      <x:c r="I137" s="12" t="str">
        <x:v>Friday</x:v>
      </x:c>
      <x:c r="J137" s="12" t="str">
        <x:f>IF(D137=1,"1 network",IF(D137&lt;=135,"133–135 networks",IF(D137&lt;6000,"2,342–2,489 networks","6,248–6,295 networks")))</x:f>
        <x:v>133–135 networks</x:v>
      </x:c>
      <x:c r="K137" s="12" t="n">
        <x:f>IF(OR(H137&lt;6,H137&gt;=22),1,0)</x:f>
        <x:v>0</x:v>
      </x:c>
      <x:c r="L137" s="12" t="n">
        <x:f>IF(COUNTIF($A$2:$A$186,A137)&gt;1,1,0)</x:f>
        <x:v>0</x:v>
      </x:c>
      <x:c r="M137" s="12" t="n">
        <x:f>IF(OR(I137="Saturday",I137="Sunday"),1,0)</x:f>
        <x:v>0</x:v>
      </x:c>
      <x:c r="N137" s="23" t="n">
        <x:v>3792.579</x:v>
      </x:c>
      <x:c r="O137" s="16" t="n">
        <x:f>IF(AND(N137&lt;&gt;"",N137&lt;=60),1,0)</x:f>
        <x:v>0</x:v>
      </x:c>
    </x:row>
    <x:row r="138">
      <x:c r="A138" s="11" t="str">
        <x:v>f3fd3a32-0220-46e3-ae8f-f5732fd84742</x:v>
      </x:c>
      <x:c r="B138" s="12" t="str">
        <x:v>***</x:v>
      </x:c>
      <x:c r="C138" s="13" t="str">
        <x:v>UTC 2026-07-31T17:42:45.857Z</x:v>
      </x:c>
      <x:c r="D138" s="14" t="n">
        <x:v>2371</x:v>
      </x:c>
      <x:c r="E138" s="12" t="str">
        <x:v>Investigation</x:v>
      </x:c>
      <x:c r="F138" s="12" t="str">
        <x:v>2026-07-31 12:42:45 CDT</x:v>
      </x:c>
      <x:c r="G138" s="12" t="str">
        <x:v>2026-07-31</x:v>
      </x:c>
      <x:c r="H138" s="15" t="n">
        <x:v>12</x:v>
      </x:c>
      <x:c r="I138" s="12" t="str">
        <x:v>Friday</x:v>
      </x:c>
      <x:c r="J138" s="12" t="str">
        <x:f>IF(D138=1,"1 network",IF(D138&lt;=135,"133–135 networks",IF(D138&lt;6000,"2,342–2,489 networks","6,248–6,295 networks")))</x:f>
        <x:v>2,342–2,489 networks</x:v>
      </x:c>
      <x:c r="K138" s="12" t="n">
        <x:f>IF(OR(H138&lt;6,H138&gt;=22),1,0)</x:f>
        <x:v>0</x:v>
      </x:c>
      <x:c r="L138" s="12" t="n">
        <x:f>IF(COUNTIF($A$2:$A$186,A138)&gt;1,1,0)</x:f>
        <x:v>0</x:v>
      </x:c>
      <x:c r="M138" s="12" t="n">
        <x:f>IF(OR(I138="Saturday",I138="Sunday"),1,0)</x:f>
        <x:v>0</x:v>
      </x:c>
      <x:c r="N138" s="23" t="n">
        <x:v>5643.323</x:v>
      </x:c>
      <x:c r="O138" s="16" t="n">
        <x:f>IF(AND(N138&lt;&gt;"",N138&lt;=60),1,0)</x:f>
        <x:v>0</x:v>
      </x:c>
    </x:row>
    <x:row r="139">
      <x:c r="A139" s="11" t="str">
        <x:v>bf6bd8ff-1074-44d8-8952-1368ddb77197</x:v>
      </x:c>
      <x:c r="B139" s="12" t="str">
        <x:v>***</x:v>
      </x:c>
      <x:c r="C139" s="13" t="str">
        <x:v>UTC 2026-08-01T03:18:33.703Z</x:v>
      </x:c>
      <x:c r="D139" s="14" t="n">
        <x:v>2446</x:v>
      </x:c>
      <x:c r="E139" s="12" t="str">
        <x:v>Investigation</x:v>
      </x:c>
      <x:c r="F139" s="12" t="str">
        <x:v>2026-07-31 22:18:33 CDT</x:v>
      </x:c>
      <x:c r="G139" s="12" t="str">
        <x:v>2026-07-31</x:v>
      </x:c>
      <x:c r="H139" s="15" t="n">
        <x:v>22</x:v>
      </x:c>
      <x:c r="I139" s="12" t="str">
        <x:v>Friday</x:v>
      </x:c>
      <x:c r="J139" s="12" t="str">
        <x:f>IF(D139=1,"1 network",IF(D139&lt;=135,"133–135 networks",IF(D139&lt;6000,"2,342–2,489 networks","6,248–6,295 networks")))</x:f>
        <x:v>2,342–2,489 networks</x:v>
      </x:c>
      <x:c r="K139" s="12" t="n">
        <x:f>IF(OR(H139&lt;6,H139&gt;=22),1,0)</x:f>
        <x:v>1</x:v>
      </x:c>
      <x:c r="L139" s="12" t="n">
        <x:f>IF(COUNTIF($A$2:$A$186,A139)&gt;1,1,0)</x:f>
        <x:v>0</x:v>
      </x:c>
      <x:c r="M139" s="12" t="n">
        <x:f>IF(OR(I139="Saturday",I139="Sunday"),1,0)</x:f>
        <x:v>0</x:v>
      </x:c>
      <x:c r="N139" s="23" t="n">
        <x:v>34547.846</x:v>
      </x:c>
      <x:c r="O139" s="16" t="n">
        <x:f>IF(AND(N139&lt;&gt;"",N139&lt;=60),1,0)</x:f>
        <x:v>0</x:v>
      </x:c>
    </x:row>
    <x:row r="140">
      <x:c r="A140" s="11" t="str">
        <x:v>3441dec7-cb3a-4579-a004-41d6cea0020b</x:v>
      </x:c>
      <x:c r="B140" s="12" t="str">
        <x:v>***</x:v>
      </x:c>
      <x:c r="C140" s="13" t="str">
        <x:v>UTC 2026-08-01T03:39:52.664Z</x:v>
      </x:c>
      <x:c r="D140" s="14" t="n">
        <x:v>134</x:v>
      </x:c>
      <x:c r="E140" s="12" t="str">
        <x:v>Investigation</x:v>
      </x:c>
      <x:c r="F140" s="12" t="str">
        <x:v>2026-07-31 22:39:52 CDT</x:v>
      </x:c>
      <x:c r="G140" s="12" t="str">
        <x:v>2026-07-31</x:v>
      </x:c>
      <x:c r="H140" s="15" t="n">
        <x:v>22</x:v>
      </x:c>
      <x:c r="I140" s="12" t="str">
        <x:v>Friday</x:v>
      </x:c>
      <x:c r="J140" s="12" t="str">
        <x:f>IF(D140=1,"1 network",IF(D140&lt;=135,"133–135 networks",IF(D140&lt;6000,"2,342–2,489 networks","6,248–6,295 networks")))</x:f>
        <x:v>133–135 networks</x:v>
      </x:c>
      <x:c r="K140" s="12" t="n">
        <x:f>IF(OR(H140&lt;6,H140&gt;=22),1,0)</x:f>
        <x:v>1</x:v>
      </x:c>
      <x:c r="L140" s="12" t="n">
        <x:f>IF(COUNTIF($A$2:$A$186,A140)&gt;1,1,0)</x:f>
        <x:v>0</x:v>
      </x:c>
      <x:c r="M140" s="12" t="n">
        <x:f>IF(OR(I140="Saturday",I140="Sunday"),1,0)</x:f>
        <x:v>0</x:v>
      </x:c>
      <x:c r="N140" s="23" t="n">
        <x:v>1278.961</x:v>
      </x:c>
      <x:c r="O140" s="16" t="n">
        <x:f>IF(AND(N140&lt;&gt;"",N140&lt;=60),1,0)</x:f>
        <x:v>0</x:v>
      </x:c>
    </x:row>
    <x:row r="141">
      <x:c r="A141" s="11" t="str">
        <x:v>93cd5cd2-90a5-41c8-be55-3e93b513e377</x:v>
      </x:c>
      <x:c r="B141" s="12" t="str">
        <x:v>***</x:v>
      </x:c>
      <x:c r="C141" s="13" t="str">
        <x:v>UTC 2026-08-01T04:08:48.858Z</x:v>
      </x:c>
      <x:c r="D141" s="14" t="n">
        <x:v>1</x:v>
      </x:c>
      <x:c r="E141" s="12" t="str">
        <x:v>Investigation</x:v>
      </x:c>
      <x:c r="F141" s="12" t="str">
        <x:v>2026-07-31 23:08:48 CDT</x:v>
      </x:c>
      <x:c r="G141" s="12" t="str">
        <x:v>2026-07-31</x:v>
      </x:c>
      <x:c r="H141" s="15" t="n">
        <x:v>23</x:v>
      </x:c>
      <x:c r="I141" s="12" t="str">
        <x:v>Friday</x:v>
      </x:c>
      <x:c r="J141" s="12" t="str">
        <x:f>IF(D141=1,"1 network",IF(D141&lt;=135,"133–135 networks",IF(D141&lt;6000,"2,342–2,489 networks","6,248–6,295 networks")))</x:f>
        <x:v>1 network</x:v>
      </x:c>
      <x:c r="K141" s="12" t="n">
        <x:f>IF(OR(H141&lt;6,H141&gt;=22),1,0)</x:f>
        <x:v>1</x:v>
      </x:c>
      <x:c r="L141" s="12" t="n">
        <x:f>IF(COUNTIF($A$2:$A$186,A141)&gt;1,1,0)</x:f>
        <x:v>0</x:v>
      </x:c>
      <x:c r="M141" s="12" t="n">
        <x:f>IF(OR(I141="Saturday",I141="Sunday"),1,0)</x:f>
        <x:v>0</x:v>
      </x:c>
      <x:c r="N141" s="23" t="n">
        <x:v>1736.194</x:v>
      </x:c>
      <x:c r="O141" s="16" t="n">
        <x:f>IF(AND(N141&lt;&gt;"",N141&lt;=60),1,0)</x:f>
        <x:v>0</x:v>
      </x:c>
    </x:row>
    <x:row r="142">
      <x:c r="A142" s="11" t="str">
        <x:v>e73e503b-29d8-4533-a64f-1bf74a34df93</x:v>
      </x:c>
      <x:c r="B142" s="12" t="str">
        <x:v>***</x:v>
      </x:c>
      <x:c r="C142" s="13" t="str">
        <x:v>UTC 2026-08-02T11:14:37.249Z</x:v>
      </x:c>
      <x:c r="D142" s="14" t="n">
        <x:v>2363</x:v>
      </x:c>
      <x:c r="E142" s="12" t="str">
        <x:v>Investigation</x:v>
      </x:c>
      <x:c r="F142" s="12" t="str">
        <x:v>2026-08-02 06:14:37 CDT</x:v>
      </x:c>
      <x:c r="G142" s="12" t="str">
        <x:v>2026-08-02</x:v>
      </x:c>
      <x:c r="H142" s="15" t="n">
        <x:v>6</x:v>
      </x:c>
      <x:c r="I142" s="12" t="str">
        <x:v>Sunday</x:v>
      </x:c>
      <x:c r="J142" s="12" t="str">
        <x:f>IF(D142=1,"1 network",IF(D142&lt;=135,"133–135 networks",IF(D142&lt;6000,"2,342–2,489 networks","6,248–6,295 networks")))</x:f>
        <x:v>2,342–2,489 networks</x:v>
      </x:c>
      <x:c r="K142" s="12" t="n">
        <x:f>IF(OR(H142&lt;6,H142&gt;=22),1,0)</x:f>
        <x:v>0</x:v>
      </x:c>
      <x:c r="L142" s="12" t="n">
        <x:f>IF(COUNTIF($A$2:$A$186,A142)&gt;1,1,0)</x:f>
        <x:v>0</x:v>
      </x:c>
      <x:c r="M142" s="12" t="n">
        <x:f>IF(OR(I142="Saturday",I142="Sunday"),1,0)</x:f>
        <x:v>1</x:v>
      </x:c>
      <x:c r="N142" s="23" t="n">
        <x:v>111948.391</x:v>
      </x:c>
      <x:c r="O142" s="16" t="n">
        <x:f>IF(AND(N142&lt;&gt;"",N142&lt;=60),1,0)</x:f>
        <x:v>0</x:v>
      </x:c>
    </x:row>
    <x:row r="143">
      <x:c r="A143" s="11" t="str">
        <x:v>bc1385c9-46a9-45d0-b090-8b390b0c3c3b</x:v>
      </x:c>
      <x:c r="B143" s="12" t="str">
        <x:v>***</x:v>
      </x:c>
      <x:c r="C143" s="13" t="str">
        <x:v>UTC 2026-08-03T12:07:16.740Z</x:v>
      </x:c>
      <x:c r="D143" s="14" t="n">
        <x:v>2440</x:v>
      </x:c>
      <x:c r="E143" s="12" t="str">
        <x:v>Investigation</x:v>
      </x:c>
      <x:c r="F143" s="12" t="str">
        <x:v>2026-08-03 07:07:16 CDT</x:v>
      </x:c>
      <x:c r="G143" s="12" t="str">
        <x:v>2026-08-03</x:v>
      </x:c>
      <x:c r="H143" s="15" t="n">
        <x:v>7</x:v>
      </x:c>
      <x:c r="I143" s="12" t="str">
        <x:v>Monday</x:v>
      </x:c>
      <x:c r="J143" s="12" t="str">
        <x:f>IF(D143=1,"1 network",IF(D143&lt;=135,"133–135 networks",IF(D143&lt;6000,"2,342–2,489 networks","6,248–6,295 networks")))</x:f>
        <x:v>2,342–2,489 networks</x:v>
      </x:c>
      <x:c r="K143" s="12" t="n">
        <x:f>IF(OR(H143&lt;6,H143&gt;=22),1,0)</x:f>
        <x:v>0</x:v>
      </x:c>
      <x:c r="L143" s="12" t="n">
        <x:f>IF(COUNTIF($A$2:$A$186,A143)&gt;1,1,0)</x:f>
        <x:v>0</x:v>
      </x:c>
      <x:c r="M143" s="12" t="n">
        <x:f>IF(OR(I143="Saturday",I143="Sunday"),1,0)</x:f>
        <x:v>0</x:v>
      </x:c>
      <x:c r="N143" s="23" t="n">
        <x:v>89559.491</x:v>
      </x:c>
      <x:c r="O143" s="16" t="n">
        <x:f>IF(AND(N143&lt;&gt;"",N143&lt;=60),1,0)</x:f>
        <x:v>0</x:v>
      </x:c>
    </x:row>
    <x:row r="144">
      <x:c r="A144" s="11" t="str">
        <x:v>7f295e06-f607-475b-a4c7-3c05b8fc71b2</x:v>
      </x:c>
      <x:c r="B144" s="12" t="str">
        <x:v>***</x:v>
      </x:c>
      <x:c r="C144" s="13" t="str">
        <x:v>UTC 2026-08-03T15:21:46.963Z</x:v>
      </x:c>
      <x:c r="D144" s="14" t="n">
        <x:v>2438</x:v>
      </x:c>
      <x:c r="E144" s="12" t="str">
        <x:v>Investigation</x:v>
      </x:c>
      <x:c r="F144" s="12" t="str">
        <x:v>2026-08-03 10:21:46 CDT</x:v>
      </x:c>
      <x:c r="G144" s="12" t="str">
        <x:v>2026-08-03</x:v>
      </x:c>
      <x:c r="H144" s="15" t="n">
        <x:v>10</x:v>
      </x:c>
      <x:c r="I144" s="12" t="str">
        <x:v>Monday</x:v>
      </x:c>
      <x:c r="J144" s="12" t="str">
        <x:f>IF(D144=1,"1 network",IF(D144&lt;=135,"133–135 networks",IF(D144&lt;6000,"2,342–2,489 networks","6,248–6,295 networks")))</x:f>
        <x:v>2,342–2,489 networks</x:v>
      </x:c>
      <x:c r="K144" s="12" t="n">
        <x:f>IF(OR(H144&lt;6,H144&gt;=22),1,0)</x:f>
        <x:v>0</x:v>
      </x:c>
      <x:c r="L144" s="12" t="n">
        <x:f>IF(COUNTIF($A$2:$A$186,A144)&gt;1,1,0)</x:f>
        <x:v>0</x:v>
      </x:c>
      <x:c r="M144" s="12" t="n">
        <x:f>IF(OR(I144="Saturday",I144="Sunday"),1,0)</x:f>
        <x:v>0</x:v>
      </x:c>
      <x:c r="N144" s="23" t="n">
        <x:v>11670.223</x:v>
      </x:c>
      <x:c r="O144" s="16" t="n">
        <x:f>IF(AND(N144&lt;&gt;"",N144&lt;=60),1,0)</x:f>
        <x:v>0</x:v>
      </x:c>
    </x:row>
    <x:row r="145">
      <x:c r="A145" s="11" t="str">
        <x:v>0bf3f4ae-f130-46c4-96f1-637fbc6dcefd</x:v>
      </x:c>
      <x:c r="B145" s="12" t="str">
        <x:v>***</x:v>
      </x:c>
      <x:c r="C145" s="13" t="str">
        <x:v>UTC 2026-08-03T15:57:16.606Z</x:v>
      </x:c>
      <x:c r="D145" s="14" t="n">
        <x:v>2438</x:v>
      </x:c>
      <x:c r="E145" s="12" t="str">
        <x:v>Investigation</x:v>
      </x:c>
      <x:c r="F145" s="12" t="str">
        <x:v>2026-08-03 10:57:16 CDT</x:v>
      </x:c>
      <x:c r="G145" s="12" t="str">
        <x:v>2026-08-03</x:v>
      </x:c>
      <x:c r="H145" s="15" t="n">
        <x:v>10</x:v>
      </x:c>
      <x:c r="I145" s="12" t="str">
        <x:v>Monday</x:v>
      </x:c>
      <x:c r="J145" s="12" t="str">
        <x:f>IF(D145=1,"1 network",IF(D145&lt;=135,"133–135 networks",IF(D145&lt;6000,"2,342–2,489 networks","6,248–6,295 networks")))</x:f>
        <x:v>2,342–2,489 networks</x:v>
      </x:c>
      <x:c r="K145" s="12" t="n">
        <x:f>IF(OR(H145&lt;6,H145&gt;=22),1,0)</x:f>
        <x:v>0</x:v>
      </x:c>
      <x:c r="L145" s="12" t="n">
        <x:f>IF(COUNTIF($A$2:$A$186,A145)&gt;1,1,0)</x:f>
        <x:v>0</x:v>
      </x:c>
      <x:c r="M145" s="12" t="n">
        <x:f>IF(OR(I145="Saturday",I145="Sunday"),1,0)</x:f>
        <x:v>0</x:v>
      </x:c>
      <x:c r="N145" s="23" t="n">
        <x:v>2129.643</x:v>
      </x:c>
      <x:c r="O145" s="16" t="n">
        <x:f>IF(AND(N145&lt;&gt;"",N145&lt;=60),1,0)</x:f>
        <x:v>0</x:v>
      </x:c>
    </x:row>
    <x:row r="146">
      <x:c r="A146" s="11" t="str">
        <x:v>73b0249a-7b70-437b-a756-eb7f56f9985d</x:v>
      </x:c>
      <x:c r="B146" s="12" t="str">
        <x:v>***</x:v>
      </x:c>
      <x:c r="C146" s="13" t="str">
        <x:v>UTC 2026-08-03T15:58:50.818Z</x:v>
      </x:c>
      <x:c r="D146" s="14" t="n">
        <x:v>2438</x:v>
      </x:c>
      <x:c r="E146" s="12" t="str">
        <x:v>Investigation</x:v>
      </x:c>
      <x:c r="F146" s="12" t="str">
        <x:v>2026-08-03 10:58:50 CDT</x:v>
      </x:c>
      <x:c r="G146" s="12" t="str">
        <x:v>2026-08-03</x:v>
      </x:c>
      <x:c r="H146" s="15" t="n">
        <x:v>10</x:v>
      </x:c>
      <x:c r="I146" s="12" t="str">
        <x:v>Monday</x:v>
      </x:c>
      <x:c r="J146" s="12" t="str">
        <x:f>IF(D146=1,"1 network",IF(D146&lt;=135,"133–135 networks",IF(D146&lt;6000,"2,342–2,489 networks","6,248–6,295 networks")))</x:f>
        <x:v>2,342–2,489 networks</x:v>
      </x:c>
      <x:c r="K146" s="12" t="n">
        <x:f>IF(OR(H146&lt;6,H146&gt;=22),1,0)</x:f>
        <x:v>0</x:v>
      </x:c>
      <x:c r="L146" s="12" t="n">
        <x:f>IF(COUNTIF($A$2:$A$186,A146)&gt;1,1,0)</x:f>
        <x:v>0</x:v>
      </x:c>
      <x:c r="M146" s="12" t="n">
        <x:f>IF(OR(I146="Saturday",I146="Sunday"),1,0)</x:f>
        <x:v>0</x:v>
      </x:c>
      <x:c r="N146" s="23" t="n">
        <x:v>94.212</x:v>
      </x:c>
      <x:c r="O146" s="16" t="n">
        <x:f>IF(AND(N146&lt;&gt;"",N146&lt;=60),1,0)</x:f>
        <x:v>0</x:v>
      </x:c>
    </x:row>
    <x:row r="147">
      <x:c r="A147" s="11" t="str">
        <x:v>ab0f83ff-9fd0-465d-8a2b-53882fc16ff7</x:v>
      </x:c>
      <x:c r="B147" s="12" t="str">
        <x:v>***</x:v>
      </x:c>
      <x:c r="C147" s="13" t="str">
        <x:v>UTC 2026-08-03T16:13:04.355Z</x:v>
      </x:c>
      <x:c r="D147" s="14" t="n">
        <x:v>2438</x:v>
      </x:c>
      <x:c r="E147" s="12" t="str">
        <x:v>Investigation</x:v>
      </x:c>
      <x:c r="F147" s="12" t="str">
        <x:v>2026-08-03 11:13:04 CDT</x:v>
      </x:c>
      <x:c r="G147" s="12" t="str">
        <x:v>2026-08-03</x:v>
      </x:c>
      <x:c r="H147" s="15" t="n">
        <x:v>11</x:v>
      </x:c>
      <x:c r="I147" s="12" t="str">
        <x:v>Monday</x:v>
      </x:c>
      <x:c r="J147" s="12" t="str">
        <x:f>IF(D147=1,"1 network",IF(D147&lt;=135,"133–135 networks",IF(D147&lt;6000,"2,342–2,489 networks","6,248–6,295 networks")))</x:f>
        <x:v>2,342–2,489 networks</x:v>
      </x:c>
      <x:c r="K147" s="12" t="n">
        <x:f>IF(OR(H147&lt;6,H147&gt;=22),1,0)</x:f>
        <x:v>0</x:v>
      </x:c>
      <x:c r="L147" s="12" t="n">
        <x:f>IF(COUNTIF($A$2:$A$186,A147)&gt;1,1,0)</x:f>
        <x:v>0</x:v>
      </x:c>
      <x:c r="M147" s="12" t="n">
        <x:f>IF(OR(I147="Saturday",I147="Sunday"),1,0)</x:f>
        <x:v>0</x:v>
      </x:c>
      <x:c r="N147" s="23" t="n">
        <x:v>853.537</x:v>
      </x:c>
      <x:c r="O147" s="16" t="n">
        <x:f>IF(AND(N147&lt;&gt;"",N147&lt;=60),1,0)</x:f>
        <x:v>0</x:v>
      </x:c>
    </x:row>
    <x:row r="148">
      <x:c r="A148" s="11" t="str">
        <x:v>b6384253-a054-4011-9a54-06e8fcd3ee0a</x:v>
      </x:c>
      <x:c r="B148" s="12" t="str">
        <x:v>***</x:v>
      </x:c>
      <x:c r="C148" s="13" t="str">
        <x:v>UTC 2026-08-03T16:57:13.886Z</x:v>
      </x:c>
      <x:c r="D148" s="14" t="n">
        <x:v>2438</x:v>
      </x:c>
      <x:c r="E148" s="12" t="str">
        <x:v>Investigation</x:v>
      </x:c>
      <x:c r="F148" s="12" t="str">
        <x:v>2026-08-03 11:57:13 CDT</x:v>
      </x:c>
      <x:c r="G148" s="12" t="str">
        <x:v>2026-08-03</x:v>
      </x:c>
      <x:c r="H148" s="15" t="n">
        <x:v>11</x:v>
      </x:c>
      <x:c r="I148" s="12" t="str">
        <x:v>Monday</x:v>
      </x:c>
      <x:c r="J148" s="12" t="str">
        <x:f>IF(D148=1,"1 network",IF(D148&lt;=135,"133–135 networks",IF(D148&lt;6000,"2,342–2,489 networks","6,248–6,295 networks")))</x:f>
        <x:v>2,342–2,489 networks</x:v>
      </x:c>
      <x:c r="K148" s="12" t="n">
        <x:f>IF(OR(H148&lt;6,H148&gt;=22),1,0)</x:f>
        <x:v>0</x:v>
      </x:c>
      <x:c r="L148" s="12" t="n">
        <x:f>IF(COUNTIF($A$2:$A$186,A148)&gt;1,1,0)</x:f>
        <x:v>0</x:v>
      </x:c>
      <x:c r="M148" s="12" t="n">
        <x:f>IF(OR(I148="Saturday",I148="Sunday"),1,0)</x:f>
        <x:v>0</x:v>
      </x:c>
      <x:c r="N148" s="23" t="n">
        <x:v>2649.531</x:v>
      </x:c>
      <x:c r="O148" s="16" t="n">
        <x:f>IF(AND(N148&lt;&gt;"",N148&lt;=60),1,0)</x:f>
        <x:v>0</x:v>
      </x:c>
    </x:row>
    <x:row r="149">
      <x:c r="A149" s="11" t="str">
        <x:v>b1adf5b1-e8de-44df-bd23-53250bcebf23</x:v>
      </x:c>
      <x:c r="B149" s="12" t="str">
        <x:v>***</x:v>
      </x:c>
      <x:c r="C149" s="13" t="str">
        <x:v>UTC 2026-08-03T17:15:04.120Z</x:v>
      </x:c>
      <x:c r="D149" s="14" t="n">
        <x:v>2438</x:v>
      </x:c>
      <x:c r="E149" s="12" t="str">
        <x:v>Investigation</x:v>
      </x:c>
      <x:c r="F149" s="12" t="str">
        <x:v>2026-08-03 12:15:04 CDT</x:v>
      </x:c>
      <x:c r="G149" s="12" t="str">
        <x:v>2026-08-03</x:v>
      </x:c>
      <x:c r="H149" s="15" t="n">
        <x:v>12</x:v>
      </x:c>
      <x:c r="I149" s="12" t="str">
        <x:v>Monday</x:v>
      </x:c>
      <x:c r="J149" s="12" t="str">
        <x:f>IF(D149=1,"1 network",IF(D149&lt;=135,"133–135 networks",IF(D149&lt;6000,"2,342–2,489 networks","6,248–6,295 networks")))</x:f>
        <x:v>2,342–2,489 networks</x:v>
      </x:c>
      <x:c r="K149" s="12" t="n">
        <x:f>IF(OR(H149&lt;6,H149&gt;=22),1,0)</x:f>
        <x:v>0</x:v>
      </x:c>
      <x:c r="L149" s="12" t="n">
        <x:f>IF(COUNTIF($A$2:$A$186,A149)&gt;1,1,0)</x:f>
        <x:v>0</x:v>
      </x:c>
      <x:c r="M149" s="12" t="n">
        <x:f>IF(OR(I149="Saturday",I149="Sunday"),1,0)</x:f>
        <x:v>0</x:v>
      </x:c>
      <x:c r="N149" s="23" t="n">
        <x:v>1070.234</x:v>
      </x:c>
      <x:c r="O149" s="16" t="n">
        <x:f>IF(AND(N149&lt;&gt;"",N149&lt;=60),1,0)</x:f>
        <x:v>0</x:v>
      </x:c>
    </x:row>
    <x:row r="150">
      <x:c r="A150" s="11" t="str">
        <x:v>43377ee9-2f74-4b49-a602-1a964fc1c218</x:v>
      </x:c>
      <x:c r="B150" s="12" t="str">
        <x:v>***</x:v>
      </x:c>
      <x:c r="C150" s="13" t="str">
        <x:v>UTC 2026-08-03T18:52:43.513Z</x:v>
      </x:c>
      <x:c r="D150" s="14" t="n">
        <x:v>2438</x:v>
      </x:c>
      <x:c r="E150" s="12" t="str">
        <x:v>Investigation</x:v>
      </x:c>
      <x:c r="F150" s="12" t="str">
        <x:v>2026-08-03 13:52:43 CDT</x:v>
      </x:c>
      <x:c r="G150" s="12" t="str">
        <x:v>2026-08-03</x:v>
      </x:c>
      <x:c r="H150" s="15" t="n">
        <x:v>13</x:v>
      </x:c>
      <x:c r="I150" s="12" t="str">
        <x:v>Monday</x:v>
      </x:c>
      <x:c r="J150" s="12" t="str">
        <x:f>IF(D150=1,"1 network",IF(D150&lt;=135,"133–135 networks",IF(D150&lt;6000,"2,342–2,489 networks","6,248–6,295 networks")))</x:f>
        <x:v>2,342–2,489 networks</x:v>
      </x:c>
      <x:c r="K150" s="12" t="n">
        <x:f>IF(OR(H150&lt;6,H150&gt;=22),1,0)</x:f>
        <x:v>0</x:v>
      </x:c>
      <x:c r="L150" s="12" t="n">
        <x:f>IF(COUNTIF($A$2:$A$186,A150)&gt;1,1,0)</x:f>
        <x:v>0</x:v>
      </x:c>
      <x:c r="M150" s="12" t="n">
        <x:f>IF(OR(I150="Saturday",I150="Sunday"),1,0)</x:f>
        <x:v>0</x:v>
      </x:c>
      <x:c r="N150" s="23" t="n">
        <x:v>5859.393</x:v>
      </x:c>
      <x:c r="O150" s="16" t="n">
        <x:f>IF(AND(N150&lt;&gt;"",N150&lt;=60),1,0)</x:f>
        <x:v>0</x:v>
      </x:c>
    </x:row>
    <x:row r="151">
      <x:c r="A151" s="11" t="str">
        <x:v>ff2fad2e-8544-465e-97ad-928ad511323b</x:v>
      </x:c>
      <x:c r="B151" s="12" t="str">
        <x:v>***</x:v>
      </x:c>
      <x:c r="C151" s="13" t="str">
        <x:v>UTC 2026-08-03T19:03:45.046Z</x:v>
      </x:c>
      <x:c r="D151" s="14" t="n">
        <x:v>2437</x:v>
      </x:c>
      <x:c r="E151" s="12" t="str">
        <x:v>Investigation</x:v>
      </x:c>
      <x:c r="F151" s="12" t="str">
        <x:v>2026-08-03 14:03:45 CDT</x:v>
      </x:c>
      <x:c r="G151" s="12" t="str">
        <x:v>2026-08-03</x:v>
      </x:c>
      <x:c r="H151" s="15" t="n">
        <x:v>14</x:v>
      </x:c>
      <x:c r="I151" s="12" t="str">
        <x:v>Monday</x:v>
      </x:c>
      <x:c r="J151" s="12" t="str">
        <x:f>IF(D151=1,"1 network",IF(D151&lt;=135,"133–135 networks",IF(D151&lt;6000,"2,342–2,489 networks","6,248–6,295 networks")))</x:f>
        <x:v>2,342–2,489 networks</x:v>
      </x:c>
      <x:c r="K151" s="12" t="n">
        <x:f>IF(OR(H151&lt;6,H151&gt;=22),1,0)</x:f>
        <x:v>0</x:v>
      </x:c>
      <x:c r="L151" s="12" t="n">
        <x:f>IF(COUNTIF($A$2:$A$186,A151)&gt;1,1,0)</x:f>
        <x:v>0</x:v>
      </x:c>
      <x:c r="M151" s="12" t="n">
        <x:f>IF(OR(I151="Saturday",I151="Sunday"),1,0)</x:f>
        <x:v>0</x:v>
      </x:c>
      <x:c r="N151" s="23" t="n">
        <x:v>661.533</x:v>
      </x:c>
      <x:c r="O151" s="16" t="n">
        <x:f>IF(AND(N151&lt;&gt;"",N151&lt;=60),1,0)</x:f>
        <x:v>0</x:v>
      </x:c>
    </x:row>
    <x:row r="152">
      <x:c r="A152" s="11" t="str">
        <x:v>cf5a1103-ff88-42e3-9980-17cd627170fc</x:v>
      </x:c>
      <x:c r="B152" s="12" t="str">
        <x:v>***</x:v>
      </x:c>
      <x:c r="C152" s="13" t="str">
        <x:v>UTC 2026-08-03T20:18:34.271Z</x:v>
      </x:c>
      <x:c r="D152" s="14" t="n">
        <x:v>2436</x:v>
      </x:c>
      <x:c r="E152" s="12" t="str">
        <x:v>Investigation</x:v>
      </x:c>
      <x:c r="F152" s="12" t="str">
        <x:v>2026-08-03 15:18:34 CDT</x:v>
      </x:c>
      <x:c r="G152" s="12" t="str">
        <x:v>2026-08-03</x:v>
      </x:c>
      <x:c r="H152" s="15" t="n">
        <x:v>15</x:v>
      </x:c>
      <x:c r="I152" s="12" t="str">
        <x:v>Monday</x:v>
      </x:c>
      <x:c r="J152" s="12" t="str">
        <x:f>IF(D152=1,"1 network",IF(D152&lt;=135,"133–135 networks",IF(D152&lt;6000,"2,342–2,489 networks","6,248–6,295 networks")))</x:f>
        <x:v>2,342–2,489 networks</x:v>
      </x:c>
      <x:c r="K152" s="12" t="n">
        <x:f>IF(OR(H152&lt;6,H152&gt;=22),1,0)</x:f>
        <x:v>0</x:v>
      </x:c>
      <x:c r="L152" s="12" t="n">
        <x:f>IF(COUNTIF($A$2:$A$186,A152)&gt;1,1,0)</x:f>
        <x:v>0</x:v>
      </x:c>
      <x:c r="M152" s="12" t="n">
        <x:f>IF(OR(I152="Saturday",I152="Sunday"),1,0)</x:f>
        <x:v>0</x:v>
      </x:c>
      <x:c r="N152" s="23" t="n">
        <x:v>4489.225</x:v>
      </x:c>
      <x:c r="O152" s="16" t="n">
        <x:f>IF(AND(N152&lt;&gt;"",N152&lt;=60),1,0)</x:f>
        <x:v>0</x:v>
      </x:c>
    </x:row>
    <x:row r="153">
      <x:c r="A153" s="11" t="str">
        <x:v>37536a60-c069-45da-b7a3-368fe461607d</x:v>
      </x:c>
      <x:c r="B153" s="12" t="str">
        <x:v>***</x:v>
      </x:c>
      <x:c r="C153" s="13" t="str">
        <x:v>UTC 2026-08-03T20:43:25.189Z</x:v>
      </x:c>
      <x:c r="D153" s="14" t="n">
        <x:v>2436</x:v>
      </x:c>
      <x:c r="E153" s="12" t="str">
        <x:v>Investigation</x:v>
      </x:c>
      <x:c r="F153" s="12" t="str">
        <x:v>2026-08-03 15:43:25 CDT</x:v>
      </x:c>
      <x:c r="G153" s="12" t="str">
        <x:v>2026-08-03</x:v>
      </x:c>
      <x:c r="H153" s="15" t="n">
        <x:v>15</x:v>
      </x:c>
      <x:c r="I153" s="12" t="str">
        <x:v>Monday</x:v>
      </x:c>
      <x:c r="J153" s="12" t="str">
        <x:f>IF(D153=1,"1 network",IF(D153&lt;=135,"133–135 networks",IF(D153&lt;6000,"2,342–2,489 networks","6,248–6,295 networks")))</x:f>
        <x:v>2,342–2,489 networks</x:v>
      </x:c>
      <x:c r="K153" s="12" t="n">
        <x:f>IF(OR(H153&lt;6,H153&gt;=22),1,0)</x:f>
        <x:v>0</x:v>
      </x:c>
      <x:c r="L153" s="12" t="n">
        <x:f>IF(COUNTIF($A$2:$A$186,A153)&gt;1,1,0)</x:f>
        <x:v>0</x:v>
      </x:c>
      <x:c r="M153" s="12" t="n">
        <x:f>IF(OR(I153="Saturday",I153="Sunday"),1,0)</x:f>
        <x:v>0</x:v>
      </x:c>
      <x:c r="N153" s="23" t="n">
        <x:v>1490.918</x:v>
      </x:c>
      <x:c r="O153" s="16" t="n">
        <x:f>IF(AND(N153&lt;&gt;"",N153&lt;=60),1,0)</x:f>
        <x:v>0</x:v>
      </x:c>
    </x:row>
    <x:row r="154">
      <x:c r="A154" s="11" t="str">
        <x:v>6b72ba68-856a-4a63-824b-64e9a25ec374</x:v>
      </x:c>
      <x:c r="B154" s="12" t="str">
        <x:v>***</x:v>
      </x:c>
      <x:c r="C154" s="13" t="str">
        <x:v>UTC 2026-08-03T21:09:14.095Z</x:v>
      </x:c>
      <x:c r="D154" s="14" t="n">
        <x:v>2436</x:v>
      </x:c>
      <x:c r="E154" s="12" t="str">
        <x:v>Investigation</x:v>
      </x:c>
      <x:c r="F154" s="12" t="str">
        <x:v>2026-08-03 16:09:14 CDT</x:v>
      </x:c>
      <x:c r="G154" s="12" t="str">
        <x:v>2026-08-03</x:v>
      </x:c>
      <x:c r="H154" s="15" t="n">
        <x:v>16</x:v>
      </x:c>
      <x:c r="I154" s="12" t="str">
        <x:v>Monday</x:v>
      </x:c>
      <x:c r="J154" s="12" t="str">
        <x:f>IF(D154=1,"1 network",IF(D154&lt;=135,"133–135 networks",IF(D154&lt;6000,"2,342–2,489 networks","6,248–6,295 networks")))</x:f>
        <x:v>2,342–2,489 networks</x:v>
      </x:c>
      <x:c r="K154" s="12" t="n">
        <x:f>IF(OR(H154&lt;6,H154&gt;=22),1,0)</x:f>
        <x:v>0</x:v>
      </x:c>
      <x:c r="L154" s="12" t="n">
        <x:f>IF(COUNTIF($A$2:$A$186,A154)&gt;1,1,0)</x:f>
        <x:v>0</x:v>
      </x:c>
      <x:c r="M154" s="12" t="n">
        <x:f>IF(OR(I154="Saturday",I154="Sunday"),1,0)</x:f>
        <x:v>0</x:v>
      </x:c>
      <x:c r="N154" s="23" t="n">
        <x:v>1548.906</x:v>
      </x:c>
      <x:c r="O154" s="16" t="n">
        <x:f>IF(AND(N154&lt;&gt;"",N154&lt;=60),1,0)</x:f>
        <x:v>0</x:v>
      </x:c>
    </x:row>
    <x:row r="155">
      <x:c r="A155" s="11" t="str">
        <x:v>eb67f13b-35e0-41b4-8f30-a65c011bc1f5</x:v>
      </x:c>
      <x:c r="B155" s="12" t="str">
        <x:v>***</x:v>
      </x:c>
      <x:c r="C155" s="13" t="str">
        <x:v>UTC 2026-08-03T22:08:22.986Z</x:v>
      </x:c>
      <x:c r="D155" s="14" t="n">
        <x:v>2436</x:v>
      </x:c>
      <x:c r="E155" s="12" t="str">
        <x:v>Investigation</x:v>
      </x:c>
      <x:c r="F155" s="12" t="str">
        <x:v>2026-08-03 17:08:22 CDT</x:v>
      </x:c>
      <x:c r="G155" s="12" t="str">
        <x:v>2026-08-03</x:v>
      </x:c>
      <x:c r="H155" s="15" t="n">
        <x:v>17</x:v>
      </x:c>
      <x:c r="I155" s="12" t="str">
        <x:v>Monday</x:v>
      </x:c>
      <x:c r="J155" s="12" t="str">
        <x:f>IF(D155=1,"1 network",IF(D155&lt;=135,"133–135 networks",IF(D155&lt;6000,"2,342–2,489 networks","6,248–6,295 networks")))</x:f>
        <x:v>2,342–2,489 networks</x:v>
      </x:c>
      <x:c r="K155" s="12" t="n">
        <x:f>IF(OR(H155&lt;6,H155&gt;=22),1,0)</x:f>
        <x:v>0</x:v>
      </x:c>
      <x:c r="L155" s="12" t="n">
        <x:f>IF(COUNTIF($A$2:$A$186,A155)&gt;1,1,0)</x:f>
        <x:v>0</x:v>
      </x:c>
      <x:c r="M155" s="12" t="n">
        <x:f>IF(OR(I155="Saturday",I155="Sunday"),1,0)</x:f>
        <x:v>0</x:v>
      </x:c>
      <x:c r="N155" s="23" t="n">
        <x:v>3548.891</x:v>
      </x:c>
      <x:c r="O155" s="16" t="n">
        <x:f>IF(AND(N155&lt;&gt;"",N155&lt;=60),1,0)</x:f>
        <x:v>0</x:v>
      </x:c>
    </x:row>
    <x:row r="156">
      <x:c r="A156" s="11" t="str">
        <x:v>0fd4f3e7-278e-4aa8-a3ca-47ee6a2cb8d5</x:v>
      </x:c>
      <x:c r="B156" s="12" t="str">
        <x:v>***</x:v>
      </x:c>
      <x:c r="C156" s="13" t="str">
        <x:v>UTC 2026-08-04T10:00:07.867Z</x:v>
      </x:c>
      <x:c r="D156" s="14" t="n">
        <x:v>2435</x:v>
      </x:c>
      <x:c r="E156" s="12" t="str">
        <x:v>Investigation</x:v>
      </x:c>
      <x:c r="F156" s="12" t="str">
        <x:v>2026-08-04 05:00:07 CDT</x:v>
      </x:c>
      <x:c r="G156" s="12" t="str">
        <x:v>2026-08-04</x:v>
      </x:c>
      <x:c r="H156" s="15" t="n">
        <x:v>5</x:v>
      </x:c>
      <x:c r="I156" s="12" t="str">
        <x:v>Tuesday</x:v>
      </x:c>
      <x:c r="J156" s="12" t="str">
        <x:f>IF(D156=1,"1 network",IF(D156&lt;=135,"133–135 networks",IF(D156&lt;6000,"2,342–2,489 networks","6,248–6,295 networks")))</x:f>
        <x:v>2,342–2,489 networks</x:v>
      </x:c>
      <x:c r="K156" s="12" t="n">
        <x:f>IF(OR(H156&lt;6,H156&gt;=22),1,0)</x:f>
        <x:v>1</x:v>
      </x:c>
      <x:c r="L156" s="12" t="n">
        <x:f>IF(COUNTIF($A$2:$A$186,A156)&gt;1,1,0)</x:f>
        <x:v>0</x:v>
      </x:c>
      <x:c r="M156" s="12" t="n">
        <x:f>IF(OR(I156="Saturday",I156="Sunday"),1,0)</x:f>
        <x:v>0</x:v>
      </x:c>
      <x:c r="N156" s="23" t="n">
        <x:v>42704.881</x:v>
      </x:c>
      <x:c r="O156" s="16" t="n">
        <x:f>IF(AND(N156&lt;&gt;"",N156&lt;=60),1,0)</x:f>
        <x:v>0</x:v>
      </x:c>
    </x:row>
    <x:row r="157">
      <x:c r="A157" s="11" t="str">
        <x:v>674a816b-9b14-429e-9642-b8c51bac9c08</x:v>
      </x:c>
      <x:c r="B157" s="12" t="str">
        <x:v>***</x:v>
      </x:c>
      <x:c r="C157" s="13" t="str">
        <x:v>UTC 2026-08-04T12:21:22.790Z</x:v>
      </x:c>
      <x:c r="D157" s="14" t="n">
        <x:v>2435</x:v>
      </x:c>
      <x:c r="E157" s="12" t="str">
        <x:v>Investigation</x:v>
      </x:c>
      <x:c r="F157" s="12" t="str">
        <x:v>2026-08-04 07:21:22 CDT</x:v>
      </x:c>
      <x:c r="G157" s="12" t="str">
        <x:v>2026-08-04</x:v>
      </x:c>
      <x:c r="H157" s="15" t="n">
        <x:v>7</x:v>
      </x:c>
      <x:c r="I157" s="12" t="str">
        <x:v>Tuesday</x:v>
      </x:c>
      <x:c r="J157" s="12" t="str">
        <x:f>IF(D157=1,"1 network",IF(D157&lt;=135,"133–135 networks",IF(D157&lt;6000,"2,342–2,489 networks","6,248–6,295 networks")))</x:f>
        <x:v>2,342–2,489 networks</x:v>
      </x:c>
      <x:c r="K157" s="12" t="n">
        <x:f>IF(OR(H157&lt;6,H157&gt;=22),1,0)</x:f>
        <x:v>0</x:v>
      </x:c>
      <x:c r="L157" s="12" t="n">
        <x:f>IF(COUNTIF($A$2:$A$186,A157)&gt;1,1,0)</x:f>
        <x:v>0</x:v>
      </x:c>
      <x:c r="M157" s="12" t="n">
        <x:f>IF(OR(I157="Saturday",I157="Sunday"),1,0)</x:f>
        <x:v>0</x:v>
      </x:c>
      <x:c r="N157" s="23" t="n">
        <x:v>8474.923</x:v>
      </x:c>
      <x:c r="O157" s="16" t="n">
        <x:f>IF(AND(N157&lt;&gt;"",N157&lt;=60),1,0)</x:f>
        <x:v>0</x:v>
      </x:c>
    </x:row>
    <x:row r="158">
      <x:c r="A158" s="11" t="str">
        <x:v>7a59cf24-ab31-4cb6-9f67-8741e1948935</x:v>
      </x:c>
      <x:c r="B158" s="12" t="str">
        <x:v>***</x:v>
      </x:c>
      <x:c r="C158" s="13" t="str">
        <x:v>UTC 2026-08-04T21:52:18.018Z</x:v>
      </x:c>
      <x:c r="D158" s="14" t="n">
        <x:v>1</x:v>
      </x:c>
      <x:c r="E158" s="12" t="str">
        <x:v>Investigation</x:v>
      </x:c>
      <x:c r="F158" s="12" t="str">
        <x:v>2026-08-04 16:52:18 CDT</x:v>
      </x:c>
      <x:c r="G158" s="12" t="str">
        <x:v>2026-08-04</x:v>
      </x:c>
      <x:c r="H158" s="15" t="n">
        <x:v>16</x:v>
      </x:c>
      <x:c r="I158" s="12" t="str">
        <x:v>Tuesday</x:v>
      </x:c>
      <x:c r="J158" s="12" t="str">
        <x:f>IF(D158=1,"1 network",IF(D158&lt;=135,"133–135 networks",IF(D158&lt;6000,"2,342–2,489 networks","6,248–6,295 networks")))</x:f>
        <x:v>1 network</x:v>
      </x:c>
      <x:c r="K158" s="12" t="n">
        <x:f>IF(OR(H158&lt;6,H158&gt;=22),1,0)</x:f>
        <x:v>0</x:v>
      </x:c>
      <x:c r="L158" s="12" t="n">
        <x:f>IF(COUNTIF($A$2:$A$186,A158)&gt;1,1,0)</x:f>
        <x:v>0</x:v>
      </x:c>
      <x:c r="M158" s="12" t="n">
        <x:f>IF(OR(I158="Saturday",I158="Sunday"),1,0)</x:f>
        <x:v>0</x:v>
      </x:c>
      <x:c r="N158" s="23" t="n">
        <x:v>34255.228</x:v>
      </x:c>
      <x:c r="O158" s="16" t="n">
        <x:f>IF(AND(N158&lt;&gt;"",N158&lt;=60),1,0)</x:f>
        <x:v>0</x:v>
      </x:c>
    </x:row>
    <x:row r="159">
      <x:c r="A159" s="11" t="str">
        <x:v>f66f207f-47ba-40de-8248-db4b049f07b3</x:v>
      </x:c>
      <x:c r="B159" s="12" t="str">
        <x:v>***</x:v>
      </x:c>
      <x:c r="C159" s="13" t="str">
        <x:v>UTC 2026-08-04T22:04:16.287Z</x:v>
      </x:c>
      <x:c r="D159" s="14" t="n">
        <x:v>1</x:v>
      </x:c>
      <x:c r="E159" s="12" t="str">
        <x:v>Investigation</x:v>
      </x:c>
      <x:c r="F159" s="12" t="str">
        <x:v>2026-08-04 17:04:16 CDT</x:v>
      </x:c>
      <x:c r="G159" s="12" t="str">
        <x:v>2026-08-04</x:v>
      </x:c>
      <x:c r="H159" s="15" t="n">
        <x:v>17</x:v>
      </x:c>
      <x:c r="I159" s="12" t="str">
        <x:v>Tuesday</x:v>
      </x:c>
      <x:c r="J159" s="12" t="str">
        <x:f>IF(D159=1,"1 network",IF(D159&lt;=135,"133–135 networks",IF(D159&lt;6000,"2,342–2,489 networks","6,248–6,295 networks")))</x:f>
        <x:v>1 network</x:v>
      </x:c>
      <x:c r="K159" s="12" t="n">
        <x:f>IF(OR(H159&lt;6,H159&gt;=22),1,0)</x:f>
        <x:v>0</x:v>
      </x:c>
      <x:c r="L159" s="12" t="n">
        <x:f>IF(COUNTIF($A$2:$A$186,A159)&gt;1,1,0)</x:f>
        <x:v>0</x:v>
      </x:c>
      <x:c r="M159" s="12" t="n">
        <x:f>IF(OR(I159="Saturday",I159="Sunday"),1,0)</x:f>
        <x:v>0</x:v>
      </x:c>
      <x:c r="N159" s="23" t="n">
        <x:v>718.269</x:v>
      </x:c>
      <x:c r="O159" s="16" t="n">
        <x:f>IF(AND(N159&lt;&gt;"",N159&lt;=60),1,0)</x:f>
        <x:v>0</x:v>
      </x:c>
    </x:row>
    <x:row r="160">
      <x:c r="A160" s="11" t="str">
        <x:v>54fa730e-6e79-4227-a23b-8344fe06877d</x:v>
      </x:c>
      <x:c r="B160" s="12" t="str">
        <x:v>***</x:v>
      </x:c>
      <x:c r="C160" s="13" t="str">
        <x:v>UTC 2026-08-05T02:20:55.203Z</x:v>
      </x:c>
      <x:c r="D160" s="14" t="n">
        <x:v>135</x:v>
      </x:c>
      <x:c r="E160" s="12" t="str">
        <x:v>Investigation</x:v>
      </x:c>
      <x:c r="F160" s="12" t="str">
        <x:v>2026-08-04 21:20:55 CDT</x:v>
      </x:c>
      <x:c r="G160" s="12" t="str">
        <x:v>2026-08-04</x:v>
      </x:c>
      <x:c r="H160" s="15" t="n">
        <x:v>21</x:v>
      </x:c>
      <x:c r="I160" s="12" t="str">
        <x:v>Tuesday</x:v>
      </x:c>
      <x:c r="J160" s="12" t="str">
        <x:f>IF(D160=1,"1 network",IF(D160&lt;=135,"133–135 networks",IF(D160&lt;6000,"2,342–2,489 networks","6,248–6,295 networks")))</x:f>
        <x:v>133–135 networks</x:v>
      </x:c>
      <x:c r="K160" s="12" t="n">
        <x:f>IF(OR(H160&lt;6,H160&gt;=22),1,0)</x:f>
        <x:v>0</x:v>
      </x:c>
      <x:c r="L160" s="12" t="n">
        <x:f>IF(COUNTIF($A$2:$A$186,A160)&gt;1,1,0)</x:f>
        <x:v>0</x:v>
      </x:c>
      <x:c r="M160" s="12" t="n">
        <x:f>IF(OR(I160="Saturday",I160="Sunday"),1,0)</x:f>
        <x:v>0</x:v>
      </x:c>
      <x:c r="N160" s="23" t="n">
        <x:v>15398.916</x:v>
      </x:c>
      <x:c r="O160" s="16" t="n">
        <x:f>IF(AND(N160&lt;&gt;"",N160&lt;=60),1,0)</x:f>
        <x:v>0</x:v>
      </x:c>
    </x:row>
    <x:row r="161">
      <x:c r="A161" s="11" t="str">
        <x:v>eb0c57cd-f910-4dfa-a5ed-14e562a1b0dd</x:v>
      </x:c>
      <x:c r="B161" s="12" t="str">
        <x:v>***</x:v>
      </x:c>
      <x:c r="C161" s="13" t="str">
        <x:v>UTC 2026-08-05T06:50:59.574Z</x:v>
      </x:c>
      <x:c r="D161" s="14" t="n">
        <x:v>1</x:v>
      </x:c>
      <x:c r="E161" s="12" t="str">
        <x:v>Investigation</x:v>
      </x:c>
      <x:c r="F161" s="12" t="str">
        <x:v>2026-08-05 01:50:59 CDT</x:v>
      </x:c>
      <x:c r="G161" s="12" t="str">
        <x:v>2026-08-05</x:v>
      </x:c>
      <x:c r="H161" s="15" t="n">
        <x:v>1</x:v>
      </x:c>
      <x:c r="I161" s="12" t="str">
        <x:v>Wednesday</x:v>
      </x:c>
      <x:c r="J161" s="12" t="str">
        <x:f>IF(D161=1,"1 network",IF(D161&lt;=135,"133–135 networks",IF(D161&lt;6000,"2,342–2,489 networks","6,248–6,295 networks")))</x:f>
        <x:v>1 network</x:v>
      </x:c>
      <x:c r="K161" s="12" t="n">
        <x:f>IF(OR(H161&lt;6,H161&gt;=22),1,0)</x:f>
        <x:v>1</x:v>
      </x:c>
      <x:c r="L161" s="12" t="n">
        <x:f>IF(COUNTIF($A$2:$A$186,A161)&gt;1,1,0)</x:f>
        <x:v>0</x:v>
      </x:c>
      <x:c r="M161" s="12" t="n">
        <x:f>IF(OR(I161="Saturday",I161="Sunday"),1,0)</x:f>
        <x:v>0</x:v>
      </x:c>
      <x:c r="N161" s="23" t="n">
        <x:v>16204.371</x:v>
      </x:c>
      <x:c r="O161" s="16" t="n">
        <x:f>IF(AND(N161&lt;&gt;"",N161&lt;=60),1,0)</x:f>
        <x:v>0</x:v>
      </x:c>
    </x:row>
    <x:row r="162">
      <x:c r="A162" s="11" t="str">
        <x:v>7a3b0d8a-cf01-4ce2-af9c-7be760e65907</x:v>
      </x:c>
      <x:c r="B162" s="12" t="str">
        <x:v>***</x:v>
      </x:c>
      <x:c r="C162" s="13" t="str">
        <x:v>UTC 2026-08-05T17:56:12.148Z</x:v>
      </x:c>
      <x:c r="D162" s="14" t="n">
        <x:v>2430</x:v>
      </x:c>
      <x:c r="E162" s="12" t="str">
        <x:v>Investigation</x:v>
      </x:c>
      <x:c r="F162" s="12" t="str">
        <x:v>2026-08-05 12:56:12 CDT</x:v>
      </x:c>
      <x:c r="G162" s="12" t="str">
        <x:v>2026-08-05</x:v>
      </x:c>
      <x:c r="H162" s="15" t="n">
        <x:v>12</x:v>
      </x:c>
      <x:c r="I162" s="12" t="str">
        <x:v>Wednesday</x:v>
      </x:c>
      <x:c r="J162" s="12" t="str">
        <x:f>IF(D162=1,"1 network",IF(D162&lt;=135,"133–135 networks",IF(D162&lt;6000,"2,342–2,489 networks","6,248–6,295 networks")))</x:f>
        <x:v>2,342–2,489 networks</x:v>
      </x:c>
      <x:c r="K162" s="12" t="n">
        <x:f>IF(OR(H162&lt;6,H162&gt;=22),1,0)</x:f>
        <x:v>0</x:v>
      </x:c>
      <x:c r="L162" s="12" t="n">
        <x:f>IF(COUNTIF($A$2:$A$186,A162)&gt;1,1,0)</x:f>
        <x:v>0</x:v>
      </x:c>
      <x:c r="M162" s="12" t="n">
        <x:f>IF(OR(I162="Saturday",I162="Sunday"),1,0)</x:f>
        <x:v>0</x:v>
      </x:c>
      <x:c r="N162" s="23" t="n">
        <x:v>39912.574</x:v>
      </x:c>
      <x:c r="O162" s="16" t="n">
        <x:f>IF(AND(N162&lt;&gt;"",N162&lt;=60),1,0)</x:f>
        <x:v>0</x:v>
      </x:c>
    </x:row>
    <x:row r="163">
      <x:c r="A163" s="11" t="str">
        <x:v>70dd65b9-c602-4532-8806-8773790af6bd</x:v>
      </x:c>
      <x:c r="B163" s="12" t="str">
        <x:v>***</x:v>
      </x:c>
      <x:c r="C163" s="13" t="str">
        <x:v>UTC 2026-08-05T20:30:30.980Z</x:v>
      </x:c>
      <x:c r="D163" s="14" t="n">
        <x:v>2430</x:v>
      </x:c>
      <x:c r="E163" s="12" t="str">
        <x:v>Investigation</x:v>
      </x:c>
      <x:c r="F163" s="12" t="str">
        <x:v>2026-08-05 15:30:30 CDT</x:v>
      </x:c>
      <x:c r="G163" s="12" t="str">
        <x:v>2026-08-05</x:v>
      </x:c>
      <x:c r="H163" s="15" t="n">
        <x:v>15</x:v>
      </x:c>
      <x:c r="I163" s="12" t="str">
        <x:v>Wednesday</x:v>
      </x:c>
      <x:c r="J163" s="12" t="str">
        <x:f>IF(D163=1,"1 network",IF(D163&lt;=135,"133–135 networks",IF(D163&lt;6000,"2,342–2,489 networks","6,248–6,295 networks")))</x:f>
        <x:v>2,342–2,489 networks</x:v>
      </x:c>
      <x:c r="K163" s="12" t="n">
        <x:f>IF(OR(H163&lt;6,H163&gt;=22),1,0)</x:f>
        <x:v>0</x:v>
      </x:c>
      <x:c r="L163" s="12" t="n">
        <x:f>IF(COUNTIF($A$2:$A$186,A163)&gt;1,1,0)</x:f>
        <x:v>0</x:v>
      </x:c>
      <x:c r="M163" s="12" t="n">
        <x:f>IF(OR(I163="Saturday",I163="Sunday"),1,0)</x:f>
        <x:v>0</x:v>
      </x:c>
      <x:c r="N163" s="23" t="n">
        <x:v>9258.832</x:v>
      </x:c>
      <x:c r="O163" s="16" t="n">
        <x:f>IF(AND(N163&lt;&gt;"",N163&lt;=60),1,0)</x:f>
        <x:v>0</x:v>
      </x:c>
    </x:row>
    <x:row r="164">
      <x:c r="A164" s="11" t="str">
        <x:v>a38d6874-9132-487c-83da-bbd808b7a4c7</x:v>
      </x:c>
      <x:c r="B164" s="12" t="str">
        <x:v>***</x:v>
      </x:c>
      <x:c r="C164" s="13" t="str">
        <x:v>UTC 2026-08-05T21:09:28.106Z</x:v>
      </x:c>
      <x:c r="D164" s="14" t="n">
        <x:v>135</x:v>
      </x:c>
      <x:c r="E164" s="12" t="str">
        <x:v>Investigation</x:v>
      </x:c>
      <x:c r="F164" s="12" t="str">
        <x:v>2026-08-05 16:09:28 CDT</x:v>
      </x:c>
      <x:c r="G164" s="12" t="str">
        <x:v>2026-08-05</x:v>
      </x:c>
      <x:c r="H164" s="15" t="n">
        <x:v>16</x:v>
      </x:c>
      <x:c r="I164" s="12" t="str">
        <x:v>Wednesday</x:v>
      </x:c>
      <x:c r="J164" s="12" t="str">
        <x:f>IF(D164=1,"1 network",IF(D164&lt;=135,"133–135 networks",IF(D164&lt;6000,"2,342–2,489 networks","6,248–6,295 networks")))</x:f>
        <x:v>133–135 networks</x:v>
      </x:c>
      <x:c r="K164" s="12" t="n">
        <x:f>IF(OR(H164&lt;6,H164&gt;=22),1,0)</x:f>
        <x:v>0</x:v>
      </x:c>
      <x:c r="L164" s="12" t="n">
        <x:f>IF(COUNTIF($A$2:$A$186,A164)&gt;1,1,0)</x:f>
        <x:v>0</x:v>
      </x:c>
      <x:c r="M164" s="12" t="n">
        <x:f>IF(OR(I164="Saturday",I164="Sunday"),1,0)</x:f>
        <x:v>0</x:v>
      </x:c>
      <x:c r="N164" s="23" t="n">
        <x:v>2337.126</x:v>
      </x:c>
      <x:c r="O164" s="16" t="n">
        <x:f>IF(AND(N164&lt;&gt;"",N164&lt;=60),1,0)</x:f>
        <x:v>0</x:v>
      </x:c>
    </x:row>
    <x:row r="165">
      <x:c r="A165" s="11" t="str">
        <x:v>c193c6e2-ce3d-45f7-9498-c3a0e44c94e6</x:v>
      </x:c>
      <x:c r="B165" s="12" t="str">
        <x:v>***</x:v>
      </x:c>
      <x:c r="C165" s="13" t="str">
        <x:v>UTC 2026-08-05T22:04:16.718Z</x:v>
      </x:c>
      <x:c r="D165" s="14" t="n">
        <x:v>135</x:v>
      </x:c>
      <x:c r="E165" s="12" t="str">
        <x:v>Investigation</x:v>
      </x:c>
      <x:c r="F165" s="12" t="str">
        <x:v>2026-08-05 17:04:16 CDT</x:v>
      </x:c>
      <x:c r="G165" s="12" t="str">
        <x:v>2026-08-05</x:v>
      </x:c>
      <x:c r="H165" s="15" t="n">
        <x:v>17</x:v>
      </x:c>
      <x:c r="I165" s="12" t="str">
        <x:v>Wednesday</x:v>
      </x:c>
      <x:c r="J165" s="12" t="str">
        <x:f>IF(D165=1,"1 network",IF(D165&lt;=135,"133–135 networks",IF(D165&lt;6000,"2,342–2,489 networks","6,248–6,295 networks")))</x:f>
        <x:v>133–135 networks</x:v>
      </x:c>
      <x:c r="K165" s="12" t="n">
        <x:f>IF(OR(H165&lt;6,H165&gt;=22),1,0)</x:f>
        <x:v>0</x:v>
      </x:c>
      <x:c r="L165" s="12" t="n">
        <x:f>IF(COUNTIF($A$2:$A$186,A165)&gt;1,1,0)</x:f>
        <x:v>0</x:v>
      </x:c>
      <x:c r="M165" s="12" t="n">
        <x:f>IF(OR(I165="Saturday",I165="Sunday"),1,0)</x:f>
        <x:v>0</x:v>
      </x:c>
      <x:c r="N165" s="23" t="n">
        <x:v>3288.612</x:v>
      </x:c>
      <x:c r="O165" s="16" t="n">
        <x:f>IF(AND(N165&lt;&gt;"",N165&lt;=60),1,0)</x:f>
        <x:v>0</x:v>
      </x:c>
    </x:row>
    <x:row r="166">
      <x:c r="A166" s="11" t="str">
        <x:v>053d975e-dc9f-4027-9c1e-a0f2311f6dd4</x:v>
      </x:c>
      <x:c r="B166" s="12" t="str">
        <x:v>***</x:v>
      </x:c>
      <x:c r="C166" s="13" t="str">
        <x:v>UTC 2026-08-05T22:04:48.276Z</x:v>
      </x:c>
      <x:c r="D166" s="14" t="n">
        <x:v>2430</x:v>
      </x:c>
      <x:c r="E166" s="12" t="str">
        <x:v>Investigation</x:v>
      </x:c>
      <x:c r="F166" s="12" t="str">
        <x:v>2026-08-05 17:04:48 CDT</x:v>
      </x:c>
      <x:c r="G166" s="12" t="str">
        <x:v>2026-08-05</x:v>
      </x:c>
      <x:c r="H166" s="15" t="n">
        <x:v>17</x:v>
      </x:c>
      <x:c r="I166" s="12" t="str">
        <x:v>Wednesday</x:v>
      </x:c>
      <x:c r="J166" s="12" t="str">
        <x:f>IF(D166=1,"1 network",IF(D166&lt;=135,"133–135 networks",IF(D166&lt;6000,"2,342–2,489 networks","6,248–6,295 networks")))</x:f>
        <x:v>2,342–2,489 networks</x:v>
      </x:c>
      <x:c r="K166" s="12" t="n">
        <x:f>IF(OR(H166&lt;6,H166&gt;=22),1,0)</x:f>
        <x:v>0</x:v>
      </x:c>
      <x:c r="L166" s="12" t="n">
        <x:f>IF(COUNTIF($A$2:$A$186,A166)&gt;1,1,0)</x:f>
        <x:v>0</x:v>
      </x:c>
      <x:c r="M166" s="12" t="n">
        <x:f>IF(OR(I166="Saturday",I166="Sunday"),1,0)</x:f>
        <x:v>0</x:v>
      </x:c>
      <x:c r="N166" s="23" t="n">
        <x:v>31.558</x:v>
      </x:c>
      <x:c r="O166" s="16" t="n">
        <x:f>IF(AND(N166&lt;&gt;"",N166&lt;=60),1,0)</x:f>
        <x:v>1</x:v>
      </x:c>
    </x:row>
    <x:row r="167">
      <x:c r="A167" s="11" t="str">
        <x:v>e3ee1cfa-9568-4889-8af3-aeaa50254fa6</x:v>
      </x:c>
      <x:c r="B167" s="12" t="str">
        <x:v>***</x:v>
      </x:c>
      <x:c r="C167" s="13" t="str">
        <x:v>UTC 2026-08-06T04:53:44.871Z</x:v>
      </x:c>
      <x:c r="D167" s="14" t="n">
        <x:v>2354</x:v>
      </x:c>
      <x:c r="E167" s="12" t="str">
        <x:v>Investigation</x:v>
      </x:c>
      <x:c r="F167" s="12" t="str">
        <x:v>2026-08-05 23:53:44 CDT</x:v>
      </x:c>
      <x:c r="G167" s="12" t="str">
        <x:v>2026-08-05</x:v>
      </x:c>
      <x:c r="H167" s="15" t="n">
        <x:v>23</x:v>
      </x:c>
      <x:c r="I167" s="12" t="str">
        <x:v>Wednesday</x:v>
      </x:c>
      <x:c r="J167" s="12" t="str">
        <x:f>IF(D167=1,"1 network",IF(D167&lt;=135,"133–135 networks",IF(D167&lt;6000,"2,342–2,489 networks","6,248–6,295 networks")))</x:f>
        <x:v>2,342–2,489 networks</x:v>
      </x:c>
      <x:c r="K167" s="12" t="n">
        <x:f>IF(OR(H167&lt;6,H167&gt;=22),1,0)</x:f>
        <x:v>1</x:v>
      </x:c>
      <x:c r="L167" s="12" t="n">
        <x:f>IF(COUNTIF($A$2:$A$186,A167)&gt;1,1,0)</x:f>
        <x:v>0</x:v>
      </x:c>
      <x:c r="M167" s="12" t="n">
        <x:f>IF(OR(I167="Saturday",I167="Sunday"),1,0)</x:f>
        <x:v>0</x:v>
      </x:c>
      <x:c r="N167" s="23" t="n">
        <x:v>24536.595</x:v>
      </x:c>
      <x:c r="O167" s="16" t="n">
        <x:f>IF(AND(N167&lt;&gt;"",N167&lt;=60),1,0)</x:f>
        <x:v>0</x:v>
      </x:c>
    </x:row>
    <x:row r="168">
      <x:c r="A168" s="11" t="str">
        <x:v>8e9e64fb-d7bf-473f-8a71-e9c48906754c</x:v>
      </x:c>
      <x:c r="B168" s="12" t="str">
        <x:v>***</x:v>
      </x:c>
      <x:c r="C168" s="13" t="str">
        <x:v>UTC 2026-08-06T15:39:56.144Z</x:v>
      </x:c>
      <x:c r="D168" s="14" t="n">
        <x:v>2348</x:v>
      </x:c>
      <x:c r="E168" s="12" t="str">
        <x:v>Investigation</x:v>
      </x:c>
      <x:c r="F168" s="12" t="str">
        <x:v>2026-08-06 10:39:56 CDT</x:v>
      </x:c>
      <x:c r="G168" s="12" t="str">
        <x:v>2026-08-06</x:v>
      </x:c>
      <x:c r="H168" s="15" t="n">
        <x:v>10</x:v>
      </x:c>
      <x:c r="I168" s="12" t="str">
        <x:v>Thursday</x:v>
      </x:c>
      <x:c r="J168" s="12" t="str">
        <x:f>IF(D168=1,"1 network",IF(D168&lt;=135,"133–135 networks",IF(D168&lt;6000,"2,342–2,489 networks","6,248–6,295 networks")))</x:f>
        <x:v>2,342–2,489 networks</x:v>
      </x:c>
      <x:c r="K168" s="12" t="n">
        <x:f>IF(OR(H168&lt;6,H168&gt;=22),1,0)</x:f>
        <x:v>0</x:v>
      </x:c>
      <x:c r="L168" s="12" t="n">
        <x:f>IF(COUNTIF($A$2:$A$186,A168)&gt;1,1,0)</x:f>
        <x:v>0</x:v>
      </x:c>
      <x:c r="M168" s="12" t="n">
        <x:f>IF(OR(I168="Saturday",I168="Sunday"),1,0)</x:f>
        <x:v>0</x:v>
      </x:c>
      <x:c r="N168" s="23" t="n">
        <x:v>38771.273</x:v>
      </x:c>
      <x:c r="O168" s="16" t="n">
        <x:f>IF(AND(N168&lt;&gt;"",N168&lt;=60),1,0)</x:f>
        <x:v>0</x:v>
      </x:c>
    </x:row>
    <x:row r="169">
      <x:c r="A169" s="11" t="str">
        <x:v>5c85240d-b7ca-44a8-babd-f057835ba8f4</x:v>
      </x:c>
      <x:c r="B169" s="12" t="str">
        <x:v>***</x:v>
      </x:c>
      <x:c r="C169" s="13" t="str">
        <x:v>UTC 2026-08-06T18:40:05.206Z</x:v>
      </x:c>
      <x:c r="D169" s="14" t="n">
        <x:v>135</x:v>
      </x:c>
      <x:c r="E169" s="12" t="str">
        <x:v>Investigation</x:v>
      </x:c>
      <x:c r="F169" s="12" t="str">
        <x:v>2026-08-06 13:40:05 CDT</x:v>
      </x:c>
      <x:c r="G169" s="12" t="str">
        <x:v>2026-08-06</x:v>
      </x:c>
      <x:c r="H169" s="15" t="n">
        <x:v>13</x:v>
      </x:c>
      <x:c r="I169" s="12" t="str">
        <x:v>Thursday</x:v>
      </x:c>
      <x:c r="J169" s="12" t="str">
        <x:f>IF(D169=1,"1 network",IF(D169&lt;=135,"133–135 networks",IF(D169&lt;6000,"2,342–2,489 networks","6,248–6,295 networks")))</x:f>
        <x:v>133–135 networks</x:v>
      </x:c>
      <x:c r="K169" s="12" t="n">
        <x:f>IF(OR(H169&lt;6,H169&gt;=22),1,0)</x:f>
        <x:v>0</x:v>
      </x:c>
      <x:c r="L169" s="12" t="n">
        <x:f>IF(COUNTIF($A$2:$A$186,A169)&gt;1,1,0)</x:f>
        <x:v>0</x:v>
      </x:c>
      <x:c r="M169" s="12" t="n">
        <x:f>IF(OR(I169="Saturday",I169="Sunday"),1,0)</x:f>
        <x:v>0</x:v>
      </x:c>
      <x:c r="N169" s="23" t="n">
        <x:v>10809.062</x:v>
      </x:c>
      <x:c r="O169" s="16" t="n">
        <x:f>IF(AND(N169&lt;&gt;"",N169&lt;=60),1,0)</x:f>
        <x:v>0</x:v>
      </x:c>
    </x:row>
    <x:row r="170">
      <x:c r="A170" s="11" t="str">
        <x:v>5cda4bfe-b438-4af4-8788-6748f5a3c91a</x:v>
      </x:c>
      <x:c r="B170" s="12" t="str">
        <x:v>***</x:v>
      </x:c>
      <x:c r="C170" s="13" t="str">
        <x:v>UTC 2026-08-06T18:55:25.762Z</x:v>
      </x:c>
      <x:c r="D170" s="14" t="n">
        <x:v>2424</x:v>
      </x:c>
      <x:c r="E170" s="12" t="str">
        <x:v>Investigation</x:v>
      </x:c>
      <x:c r="F170" s="12" t="str">
        <x:v>2026-08-06 13:55:25 CDT</x:v>
      </x:c>
      <x:c r="G170" s="12" t="str">
        <x:v>2026-08-06</x:v>
      </x:c>
      <x:c r="H170" s="15" t="n">
        <x:v>13</x:v>
      </x:c>
      <x:c r="I170" s="12" t="str">
        <x:v>Thursday</x:v>
      </x:c>
      <x:c r="J170" s="12" t="str">
        <x:f>IF(D170=1,"1 network",IF(D170&lt;=135,"133–135 networks",IF(D170&lt;6000,"2,342–2,489 networks","6,248–6,295 networks")))</x:f>
        <x:v>2,342–2,489 networks</x:v>
      </x:c>
      <x:c r="K170" s="12" t="n">
        <x:f>IF(OR(H170&lt;6,H170&gt;=22),1,0)</x:f>
        <x:v>0</x:v>
      </x:c>
      <x:c r="L170" s="12" t="n">
        <x:f>IF(COUNTIF($A$2:$A$186,A170)&gt;1,1,0)</x:f>
        <x:v>0</x:v>
      </x:c>
      <x:c r="M170" s="12" t="n">
        <x:f>IF(OR(I170="Saturday",I170="Sunday"),1,0)</x:f>
        <x:v>0</x:v>
      </x:c>
      <x:c r="N170" s="23" t="n">
        <x:v>920.556</x:v>
      </x:c>
      <x:c r="O170" s="16" t="n">
        <x:f>IF(AND(N170&lt;&gt;"",N170&lt;=60),1,0)</x:f>
        <x:v>0</x:v>
      </x:c>
    </x:row>
    <x:row r="171">
      <x:c r="A171" s="11" t="str">
        <x:v>cfb9f2b0-ce07-4eda-b3f6-f9e75bc9ced7</x:v>
      </x:c>
      <x:c r="B171" s="12" t="str">
        <x:v>***</x:v>
      </x:c>
      <x:c r="C171" s="13" t="str">
        <x:v>UTC 2026-08-07T03:53:25.135Z</x:v>
      </x:c>
      <x:c r="D171" s="14" t="n">
        <x:v>134</x:v>
      </x:c>
      <x:c r="E171" s="12" t="str">
        <x:v>Investigation</x:v>
      </x:c>
      <x:c r="F171" s="12" t="str">
        <x:v>2026-08-06 22:53:25 CDT</x:v>
      </x:c>
      <x:c r="G171" s="12" t="str">
        <x:v>2026-08-06</x:v>
      </x:c>
      <x:c r="H171" s="15" t="n">
        <x:v>22</x:v>
      </x:c>
      <x:c r="I171" s="12" t="str">
        <x:v>Thursday</x:v>
      </x:c>
      <x:c r="J171" s="12" t="str">
        <x:f>IF(D171=1,"1 network",IF(D171&lt;=135,"133–135 networks",IF(D171&lt;6000,"2,342–2,489 networks","6,248–6,295 networks")))</x:f>
        <x:v>133–135 networks</x:v>
      </x:c>
      <x:c r="K171" s="12" t="n">
        <x:f>IF(OR(H171&lt;6,H171&gt;=22),1,0)</x:f>
        <x:v>1</x:v>
      </x:c>
      <x:c r="L171" s="12" t="n">
        <x:f>IF(COUNTIF($A$2:$A$186,A171)&gt;1,1,0)</x:f>
        <x:v>0</x:v>
      </x:c>
      <x:c r="M171" s="12" t="n">
        <x:f>IF(OR(I171="Saturday",I171="Sunday"),1,0)</x:f>
        <x:v>0</x:v>
      </x:c>
      <x:c r="N171" s="23" t="n">
        <x:v>32279.373</x:v>
      </x:c>
      <x:c r="O171" s="16" t="n">
        <x:f>IF(AND(N171&lt;&gt;"",N171&lt;=60),1,0)</x:f>
        <x:v>0</x:v>
      </x:c>
    </x:row>
    <x:row r="172">
      <x:c r="A172" s="11" t="str">
        <x:v>7cba2c58-5926-4a3a-bbfe-b66a8c31981c</x:v>
      </x:c>
      <x:c r="B172" s="12" t="str">
        <x:v>***</x:v>
      </x:c>
      <x:c r="C172" s="13" t="str">
        <x:v>UTC 2026-08-07T14:15:16.157Z</x:v>
      </x:c>
      <x:c r="D172" s="14" t="n">
        <x:v>2420</x:v>
      </x:c>
      <x:c r="E172" s="12" t="str">
        <x:v>Investigation</x:v>
      </x:c>
      <x:c r="F172" s="12" t="str">
        <x:v>2026-08-07 09:15:16 CDT</x:v>
      </x:c>
      <x:c r="G172" s="12" t="str">
        <x:v>2026-08-07</x:v>
      </x:c>
      <x:c r="H172" s="15" t="n">
        <x:v>9</x:v>
      </x:c>
      <x:c r="I172" s="12" t="str">
        <x:v>Friday</x:v>
      </x:c>
      <x:c r="J172" s="12" t="str">
        <x:f>IF(D172=1,"1 network",IF(D172&lt;=135,"133–135 networks",IF(D172&lt;6000,"2,342–2,489 networks","6,248–6,295 networks")))</x:f>
        <x:v>2,342–2,489 networks</x:v>
      </x:c>
      <x:c r="K172" s="12" t="n">
        <x:f>IF(OR(H172&lt;6,H172&gt;=22),1,0)</x:f>
        <x:v>0</x:v>
      </x:c>
      <x:c r="L172" s="12" t="n">
        <x:f>IF(COUNTIF($A$2:$A$186,A172)&gt;1,1,0)</x:f>
        <x:v>0</x:v>
      </x:c>
      <x:c r="M172" s="12" t="n">
        <x:f>IF(OR(I172="Saturday",I172="Sunday"),1,0)</x:f>
        <x:v>0</x:v>
      </x:c>
      <x:c r="N172" s="23" t="n">
        <x:v>37311.022</x:v>
      </x:c>
      <x:c r="O172" s="16" t="n">
        <x:f>IF(AND(N172&lt;&gt;"",N172&lt;=60),1,0)</x:f>
        <x:v>0</x:v>
      </x:c>
    </x:row>
    <x:row r="173">
      <x:c r="A173" s="11" t="str">
        <x:v>a4021d4b-cdbf-4b74-9db2-45b83a5739be</x:v>
      </x:c>
      <x:c r="B173" s="12" t="str">
        <x:v>***</x:v>
      </x:c>
      <x:c r="C173" s="13" t="str">
        <x:v>UTC 2026-08-07T15:01:08.588Z</x:v>
      </x:c>
      <x:c r="D173" s="14" t="n">
        <x:v>134</x:v>
      </x:c>
      <x:c r="E173" s="12" t="str">
        <x:v>Investigation</x:v>
      </x:c>
      <x:c r="F173" s="12" t="str">
        <x:v>2026-08-07 10:01:08 CDT</x:v>
      </x:c>
      <x:c r="G173" s="12" t="str">
        <x:v>2026-08-07</x:v>
      </x:c>
      <x:c r="H173" s="15" t="n">
        <x:v>10</x:v>
      </x:c>
      <x:c r="I173" s="12" t="str">
        <x:v>Friday</x:v>
      </x:c>
      <x:c r="J173" s="12" t="str">
        <x:f>IF(D173=1,"1 network",IF(D173&lt;=135,"133–135 networks",IF(D173&lt;6000,"2,342–2,489 networks","6,248–6,295 networks")))</x:f>
        <x:v>133–135 networks</x:v>
      </x:c>
      <x:c r="K173" s="12" t="n">
        <x:f>IF(OR(H173&lt;6,H173&gt;=22),1,0)</x:f>
        <x:v>0</x:v>
      </x:c>
      <x:c r="L173" s="12" t="n">
        <x:f>IF(COUNTIF($A$2:$A$186,A173)&gt;1,1,0)</x:f>
        <x:v>0</x:v>
      </x:c>
      <x:c r="M173" s="12" t="n">
        <x:f>IF(OR(I173="Saturday",I173="Sunday"),1,0)</x:f>
        <x:v>0</x:v>
      </x:c>
      <x:c r="N173" s="23" t="n">
        <x:v>2752.431</x:v>
      </x:c>
      <x:c r="O173" s="16" t="n">
        <x:f>IF(AND(N173&lt;&gt;"",N173&lt;=60),1,0)</x:f>
        <x:v>0</x:v>
      </x:c>
    </x:row>
    <x:row r="174">
      <x:c r="A174" s="11" t="str">
        <x:v>fac8ca28-2090-49b1-a3e3-aa8cfab4e2b3</x:v>
      </x:c>
      <x:c r="B174" s="12" t="str">
        <x:v>***</x:v>
      </x:c>
      <x:c r="C174" s="13" t="str">
        <x:v>UTC 2026-08-07T16:54:04.583Z</x:v>
      </x:c>
      <x:c r="D174" s="14" t="n">
        <x:v>6250</x:v>
      </x:c>
      <x:c r="E174" s="12" t="str">
        <x:v>Investigation</x:v>
      </x:c>
      <x:c r="F174" s="12" t="str">
        <x:v>2026-08-07 11:54:04 CDT</x:v>
      </x:c>
      <x:c r="G174" s="12" t="str">
        <x:v>2026-08-07</x:v>
      </x:c>
      <x:c r="H174" s="15" t="n">
        <x:v>11</x:v>
      </x:c>
      <x:c r="I174" s="12" t="str">
        <x:v>Friday</x:v>
      </x:c>
      <x:c r="J174" s="12" t="str">
        <x:f>IF(D174=1,"1 network",IF(D174&lt;=135,"133–135 networks",IF(D174&lt;6000,"2,342–2,489 networks","6,248–6,295 networks")))</x:f>
        <x:v>6,248–6,295 networks</x:v>
      </x:c>
      <x:c r="K174" s="12" t="n">
        <x:f>IF(OR(H174&lt;6,H174&gt;=22),1,0)</x:f>
        <x:v>0</x:v>
      </x:c>
      <x:c r="L174" s="12" t="n">
        <x:f>IF(COUNTIF($A$2:$A$186,A174)&gt;1,1,0)</x:f>
        <x:v>0</x:v>
      </x:c>
      <x:c r="M174" s="12" t="n">
        <x:f>IF(OR(I174="Saturday",I174="Sunday"),1,0)</x:f>
        <x:v>0</x:v>
      </x:c>
      <x:c r="N174" s="23" t="n">
        <x:v>6775.995</x:v>
      </x:c>
      <x:c r="O174" s="16" t="n">
        <x:f>IF(AND(N174&lt;&gt;"",N174&lt;=60),1,0)</x:f>
        <x:v>0</x:v>
      </x:c>
    </x:row>
    <x:row r="175">
      <x:c r="A175" s="11" t="str">
        <x:v>710c9e64-764a-4bc9-bea7-bf9e3a1bea60</x:v>
      </x:c>
      <x:c r="B175" s="12" t="str">
        <x:v>***</x:v>
      </x:c>
      <x:c r="C175" s="13" t="str">
        <x:v>UTC 2026-08-07T19:34:37.224Z</x:v>
      </x:c>
      <x:c r="D175" s="14" t="n">
        <x:v>2342</x:v>
      </x:c>
      <x:c r="E175" s="12" t="str">
        <x:v>Investigation</x:v>
      </x:c>
      <x:c r="F175" s="12" t="str">
        <x:v>2026-08-07 14:34:37 CDT</x:v>
      </x:c>
      <x:c r="G175" s="12" t="str">
        <x:v>2026-08-07</x:v>
      </x:c>
      <x:c r="H175" s="15" t="n">
        <x:v>14</x:v>
      </x:c>
      <x:c r="I175" s="12" t="str">
        <x:v>Friday</x:v>
      </x:c>
      <x:c r="J175" s="12" t="str">
        <x:f>IF(D175=1,"1 network",IF(D175&lt;=135,"133–135 networks",IF(D175&lt;6000,"2,342–2,489 networks","6,248–6,295 networks")))</x:f>
        <x:v>2,342–2,489 networks</x:v>
      </x:c>
      <x:c r="K175" s="12" t="n">
        <x:f>IF(OR(H175&lt;6,H175&gt;=22),1,0)</x:f>
        <x:v>0</x:v>
      </x:c>
      <x:c r="L175" s="12" t="n">
        <x:f>IF(COUNTIF($A$2:$A$186,A175)&gt;1,1,0)</x:f>
        <x:v>0</x:v>
      </x:c>
      <x:c r="M175" s="12" t="n">
        <x:f>IF(OR(I175="Saturday",I175="Sunday"),1,0)</x:f>
        <x:v>0</x:v>
      </x:c>
      <x:c r="N175" s="23" t="n">
        <x:v>9632.641</x:v>
      </x:c>
      <x:c r="O175" s="16" t="n">
        <x:f>IF(AND(N175&lt;&gt;"",N175&lt;=60),1,0)</x:f>
        <x:v>0</x:v>
      </x:c>
    </x:row>
    <x:row r="176">
      <x:c r="A176" s="11" t="str">
        <x:v>22413e44-89fa-4788-bc4e-14f9d2f5f7cc</x:v>
      </x:c>
      <x:c r="B176" s="12" t="str">
        <x:v>***</x:v>
      </x:c>
      <x:c r="C176" s="13" t="str">
        <x:v>UTC 2026-08-07T20:50:29.205Z</x:v>
      </x:c>
      <x:c r="D176" s="14" t="n">
        <x:v>1</x:v>
      </x:c>
      <x:c r="E176" s="12" t="str">
        <x:v>Investigation</x:v>
      </x:c>
      <x:c r="F176" s="12" t="str">
        <x:v>2026-08-07 15:50:29 CDT</x:v>
      </x:c>
      <x:c r="G176" s="12" t="str">
        <x:v>2026-08-07</x:v>
      </x:c>
      <x:c r="H176" s="15" t="n">
        <x:v>15</x:v>
      </x:c>
      <x:c r="I176" s="12" t="str">
        <x:v>Friday</x:v>
      </x:c>
      <x:c r="J176" s="12" t="str">
        <x:f>IF(D176=1,"1 network",IF(D176&lt;=135,"133–135 networks",IF(D176&lt;6000,"2,342–2,489 networks","6,248–6,295 networks")))</x:f>
        <x:v>1 network</x:v>
      </x:c>
      <x:c r="K176" s="12" t="n">
        <x:f>IF(OR(H176&lt;6,H176&gt;=22),1,0)</x:f>
        <x:v>0</x:v>
      </x:c>
      <x:c r="L176" s="12" t="n">
        <x:f>IF(COUNTIF($A$2:$A$186,A176)&gt;1,1,0)</x:f>
        <x:v>0</x:v>
      </x:c>
      <x:c r="M176" s="12" t="n">
        <x:f>IF(OR(I176="Saturday",I176="Sunday"),1,0)</x:f>
        <x:v>0</x:v>
      </x:c>
      <x:c r="N176" s="23" t="n">
        <x:v>4551.981</x:v>
      </x:c>
      <x:c r="O176" s="16" t="n">
        <x:f>IF(AND(N176&lt;&gt;"",N176&lt;=60),1,0)</x:f>
        <x:v>0</x:v>
      </x:c>
    </x:row>
    <x:row r="177">
      <x:c r="A177" s="11" t="str">
        <x:v>02653d7e-50db-4d20-b3dc-591ec3725b64</x:v>
      </x:c>
      <x:c r="B177" s="12" t="str">
        <x:v>***</x:v>
      </x:c>
      <x:c r="C177" s="13" t="str">
        <x:v>UTC 2026-08-07T20:58:49.667Z</x:v>
      </x:c>
      <x:c r="D177" s="14" t="n">
        <x:v>1</x:v>
      </x:c>
      <x:c r="E177" s="12" t="str">
        <x:v>Investigation</x:v>
      </x:c>
      <x:c r="F177" s="12" t="str">
        <x:v>2026-08-07 15:58:49 CDT</x:v>
      </x:c>
      <x:c r="G177" s="12" t="str">
        <x:v>2026-08-07</x:v>
      </x:c>
      <x:c r="H177" s="15" t="n">
        <x:v>15</x:v>
      </x:c>
      <x:c r="I177" s="12" t="str">
        <x:v>Friday</x:v>
      </x:c>
      <x:c r="J177" s="12" t="str">
        <x:f>IF(D177=1,"1 network",IF(D177&lt;=135,"133–135 networks",IF(D177&lt;6000,"2,342–2,489 networks","6,248–6,295 networks")))</x:f>
        <x:v>1 network</x:v>
      </x:c>
      <x:c r="K177" s="12" t="n">
        <x:f>IF(OR(H177&lt;6,H177&gt;=22),1,0)</x:f>
        <x:v>0</x:v>
      </x:c>
      <x:c r="L177" s="12" t="n">
        <x:f>IF(COUNTIF($A$2:$A$186,A177)&gt;1,1,0)</x:f>
        <x:v>0</x:v>
      </x:c>
      <x:c r="M177" s="12" t="n">
        <x:f>IF(OR(I177="Saturday",I177="Sunday"),1,0)</x:f>
        <x:v>0</x:v>
      </x:c>
      <x:c r="N177" s="23" t="n">
        <x:v>500.462</x:v>
      </x:c>
      <x:c r="O177" s="16" t="n">
        <x:f>IF(AND(N177&lt;&gt;"",N177&lt;=60),1,0)</x:f>
        <x:v>0</x:v>
      </x:c>
    </x:row>
    <x:row r="178">
      <x:c r="A178" s="11" t="str">
        <x:v>5bec9790-8309-471d-9c6b-53f64d0f88cc</x:v>
      </x:c>
      <x:c r="B178" s="12" t="str">
        <x:v>***</x:v>
      </x:c>
      <x:c r="C178" s="13" t="str">
        <x:v>UTC 2026-08-07T21:03:12.413Z</x:v>
      </x:c>
      <x:c r="D178" s="14" t="n">
        <x:v>1</x:v>
      </x:c>
      <x:c r="E178" s="12" t="str">
        <x:v>Investigation</x:v>
      </x:c>
      <x:c r="F178" s="12" t="str">
        <x:v>2026-08-07 16:03:12 CDT</x:v>
      </x:c>
      <x:c r="G178" s="12" t="str">
        <x:v>2026-08-07</x:v>
      </x:c>
      <x:c r="H178" s="15" t="n">
        <x:v>16</x:v>
      </x:c>
      <x:c r="I178" s="12" t="str">
        <x:v>Friday</x:v>
      </x:c>
      <x:c r="J178" s="12" t="str">
        <x:f>IF(D178=1,"1 network",IF(D178&lt;=135,"133–135 networks",IF(D178&lt;6000,"2,342–2,489 networks","6,248–6,295 networks")))</x:f>
        <x:v>1 network</x:v>
      </x:c>
      <x:c r="K178" s="12" t="n">
        <x:f>IF(OR(H178&lt;6,H178&gt;=22),1,0)</x:f>
        <x:v>0</x:v>
      </x:c>
      <x:c r="L178" s="12" t="n">
        <x:f>IF(COUNTIF($A$2:$A$186,A178)&gt;1,1,0)</x:f>
        <x:v>0</x:v>
      </x:c>
      <x:c r="M178" s="12" t="n">
        <x:f>IF(OR(I178="Saturday",I178="Sunday"),1,0)</x:f>
        <x:v>0</x:v>
      </x:c>
      <x:c r="N178" s="23" t="n">
        <x:v>262.746</x:v>
      </x:c>
      <x:c r="O178" s="16" t="n">
        <x:f>IF(AND(N178&lt;&gt;"",N178&lt;=60),1,0)</x:f>
        <x:v>0</x:v>
      </x:c>
    </x:row>
    <x:row r="179">
      <x:c r="A179" s="11" t="str">
        <x:v>6fca8b88-b5b9-4789-891d-4ca7a69ce9b3</x:v>
      </x:c>
      <x:c r="B179" s="12" t="str">
        <x:v>***</x:v>
      </x:c>
      <x:c r="C179" s="13" t="str">
        <x:v>UTC 2026-08-07T21:31:36.367Z</x:v>
      </x:c>
      <x:c r="D179" s="14" t="n">
        <x:v>133</x:v>
      </x:c>
      <x:c r="E179" s="12" t="str">
        <x:v>Investigation</x:v>
      </x:c>
      <x:c r="F179" s="12" t="str">
        <x:v>2026-08-07 16:31:36 CDT</x:v>
      </x:c>
      <x:c r="G179" s="12" t="str">
        <x:v>2026-08-07</x:v>
      </x:c>
      <x:c r="H179" s="15" t="n">
        <x:v>16</x:v>
      </x:c>
      <x:c r="I179" s="12" t="str">
        <x:v>Friday</x:v>
      </x:c>
      <x:c r="J179" s="12" t="str">
        <x:f>IF(D179=1,"1 network",IF(D179&lt;=135,"133–135 networks",IF(D179&lt;6000,"2,342–2,489 networks","6,248–6,295 networks")))</x:f>
        <x:v>133–135 networks</x:v>
      </x:c>
      <x:c r="K179" s="12" t="n">
        <x:f>IF(OR(H179&lt;6,H179&gt;=22),1,0)</x:f>
        <x:v>0</x:v>
      </x:c>
      <x:c r="L179" s="12" t="n">
        <x:f>IF(COUNTIF($A$2:$A$186,A179)&gt;1,1,0)</x:f>
        <x:v>0</x:v>
      </x:c>
      <x:c r="M179" s="12" t="n">
        <x:f>IF(OR(I179="Saturday",I179="Sunday"),1,0)</x:f>
        <x:v>0</x:v>
      </x:c>
      <x:c r="N179" s="23" t="n">
        <x:v>1703.954</x:v>
      </x:c>
      <x:c r="O179" s="16" t="n">
        <x:f>IF(AND(N179&lt;&gt;"",N179&lt;=60),1,0)</x:f>
        <x:v>0</x:v>
      </x:c>
    </x:row>
    <x:row r="180">
      <x:c r="A180" s="11" t="str">
        <x:v>a1ce58e5-bf06-409f-87a2-5ca244a08327</x:v>
      </x:c>
      <x:c r="B180" s="12" t="str">
        <x:v>***</x:v>
      </x:c>
      <x:c r="C180" s="13" t="str">
        <x:v>UTC 2026-08-07T21:54:09.897Z</x:v>
      </x:c>
      <x:c r="D180" s="14" t="n">
        <x:v>133</x:v>
      </x:c>
      <x:c r="E180" s="12" t="str">
        <x:v>Investigation</x:v>
      </x:c>
      <x:c r="F180" s="12" t="str">
        <x:v>2026-08-07 16:54:09 CDT</x:v>
      </x:c>
      <x:c r="G180" s="12" t="str">
        <x:v>2026-08-07</x:v>
      </x:c>
      <x:c r="H180" s="15" t="n">
        <x:v>16</x:v>
      </x:c>
      <x:c r="I180" s="12" t="str">
        <x:v>Friday</x:v>
      </x:c>
      <x:c r="J180" s="12" t="str">
        <x:f>IF(D180=1,"1 network",IF(D180&lt;=135,"133–135 networks",IF(D180&lt;6000,"2,342–2,489 networks","6,248–6,295 networks")))</x:f>
        <x:v>133–135 networks</x:v>
      </x:c>
      <x:c r="K180" s="12" t="n">
        <x:f>IF(OR(H180&lt;6,H180&gt;=22),1,0)</x:f>
        <x:v>0</x:v>
      </x:c>
      <x:c r="L180" s="12" t="n">
        <x:f>IF(COUNTIF($A$2:$A$186,A180)&gt;1,1,0)</x:f>
        <x:v>0</x:v>
      </x:c>
      <x:c r="M180" s="12" t="n">
        <x:f>IF(OR(I180="Saturday",I180="Sunday"),1,0)</x:f>
        <x:v>0</x:v>
      </x:c>
      <x:c r="N180" s="23" t="n">
        <x:v>1353.53</x:v>
      </x:c>
      <x:c r="O180" s="16" t="n">
        <x:f>IF(AND(N180&lt;&gt;"",N180&lt;=60),1,0)</x:f>
        <x:v>0</x:v>
      </x:c>
    </x:row>
    <x:row r="181">
      <x:c r="A181" s="11" t="str">
        <x:v>c9fec36a-fc4c-412b-97c9-62cac9411eb8</x:v>
      </x:c>
      <x:c r="B181" s="12" t="str">
        <x:v>***</x:v>
      </x:c>
      <x:c r="C181" s="13" t="str">
        <x:v>UTC 2026-08-08T00:13:29.784Z</x:v>
      </x:c>
      <x:c r="D181" s="14" t="n">
        <x:v>2418</x:v>
      </x:c>
      <x:c r="E181" s="12" t="str">
        <x:v>Investigation</x:v>
      </x:c>
      <x:c r="F181" s="12" t="str">
        <x:v>2026-08-07 19:13:29 CDT</x:v>
      </x:c>
      <x:c r="G181" s="12" t="str">
        <x:v>2026-08-07</x:v>
      </x:c>
      <x:c r="H181" s="15" t="n">
        <x:v>19</x:v>
      </x:c>
      <x:c r="I181" s="12" t="str">
        <x:v>Friday</x:v>
      </x:c>
      <x:c r="J181" s="12" t="str">
        <x:f>IF(D181=1,"1 network",IF(D181&lt;=135,"133–135 networks",IF(D181&lt;6000,"2,342–2,489 networks","6,248–6,295 networks")))</x:f>
        <x:v>2,342–2,489 networks</x:v>
      </x:c>
      <x:c r="K181" s="12" t="n">
        <x:f>IF(OR(H181&lt;6,H181&gt;=22),1,0)</x:f>
        <x:v>0</x:v>
      </x:c>
      <x:c r="L181" s="12" t="n">
        <x:f>IF(COUNTIF($A$2:$A$186,A181)&gt;1,1,0)</x:f>
        <x:v>0</x:v>
      </x:c>
      <x:c r="M181" s="12" t="n">
        <x:f>IF(OR(I181="Saturday",I181="Sunday"),1,0)</x:f>
        <x:v>0</x:v>
      </x:c>
      <x:c r="N181" s="23" t="n">
        <x:v>8359.887</x:v>
      </x:c>
      <x:c r="O181" s="16" t="n">
        <x:f>IF(AND(N181&lt;&gt;"",N181&lt;=60),1,0)</x:f>
        <x:v>0</x:v>
      </x:c>
    </x:row>
    <x:row r="182">
      <x:c r="A182" s="11" t="str">
        <x:v>3cdb53e8-ba3a-4dff-8432-b651f876300a</x:v>
      </x:c>
      <x:c r="B182" s="12" t="str">
        <x:v>***</x:v>
      </x:c>
      <x:c r="C182" s="13" t="str">
        <x:v>UTC 2026-08-08T02:13:30.288Z</x:v>
      </x:c>
      <x:c r="D182" s="14" t="n">
        <x:v>1</x:v>
      </x:c>
      <x:c r="E182" s="12" t="str">
        <x:v>Investigation</x:v>
      </x:c>
      <x:c r="F182" s="12" t="str">
        <x:v>2026-08-07 21:13:30 CDT</x:v>
      </x:c>
      <x:c r="G182" s="12" t="str">
        <x:v>2026-08-07</x:v>
      </x:c>
      <x:c r="H182" s="15" t="n">
        <x:v>21</x:v>
      </x:c>
      <x:c r="I182" s="12" t="str">
        <x:v>Friday</x:v>
      </x:c>
      <x:c r="J182" s="12" t="str">
        <x:f>IF(D182=1,"1 network",IF(D182&lt;=135,"133–135 networks",IF(D182&lt;6000,"2,342–2,489 networks","6,248–6,295 networks")))</x:f>
        <x:v>1 network</x:v>
      </x:c>
      <x:c r="K182" s="12" t="n">
        <x:f>IF(OR(H182&lt;6,H182&gt;=22),1,0)</x:f>
        <x:v>0</x:v>
      </x:c>
      <x:c r="L182" s="12" t="n">
        <x:f>IF(COUNTIF($A$2:$A$186,A182)&gt;1,1,0)</x:f>
        <x:v>0</x:v>
      </x:c>
      <x:c r="M182" s="12" t="n">
        <x:f>IF(OR(I182="Saturday",I182="Sunday"),1,0)</x:f>
        <x:v>0</x:v>
      </x:c>
      <x:c r="N182" s="23" t="n">
        <x:v>7200.504</x:v>
      </x:c>
      <x:c r="O182" s="16" t="n">
        <x:f>IF(AND(N182&lt;&gt;"",N182&lt;=60),1,0)</x:f>
        <x:v>0</x:v>
      </x:c>
    </x:row>
    <x:row r="183">
      <x:c r="A183" s="11" t="str">
        <x:v>b222511b-0e92-408e-acbe-3018bcb32402</x:v>
      </x:c>
      <x:c r="B183" s="12" t="str">
        <x:v>***</x:v>
      </x:c>
      <x:c r="C183" s="13" t="str">
        <x:v>UTC 2026-08-08T20:47:14.495Z</x:v>
      </x:c>
      <x:c r="D183" s="14" t="n">
        <x:v>2418</x:v>
      </x:c>
      <x:c r="E183" s="12" t="str">
        <x:v>Investigation</x:v>
      </x:c>
      <x:c r="F183" s="12" t="str">
        <x:v>2026-08-08 15:47:14 CDT</x:v>
      </x:c>
      <x:c r="G183" s="12" t="str">
        <x:v>2026-08-08</x:v>
      </x:c>
      <x:c r="H183" s="15" t="n">
        <x:v>15</x:v>
      </x:c>
      <x:c r="I183" s="12" t="str">
        <x:v>Saturday</x:v>
      </x:c>
      <x:c r="J183" s="12" t="str">
        <x:f>IF(D183=1,"1 network",IF(D183&lt;=135,"133–135 networks",IF(D183&lt;6000,"2,342–2,489 networks","6,248–6,295 networks")))</x:f>
        <x:v>2,342–2,489 networks</x:v>
      </x:c>
      <x:c r="K183" s="12" t="n">
        <x:f>IF(OR(H183&lt;6,H183&gt;=22),1,0)</x:f>
        <x:v>0</x:v>
      </x:c>
      <x:c r="L183" s="12" t="n">
        <x:f>IF(COUNTIF($A$2:$A$186,A183)&gt;1,1,0)</x:f>
        <x:v>0</x:v>
      </x:c>
      <x:c r="M183" s="12" t="n">
        <x:f>IF(OR(I183="Saturday",I183="Sunday"),1,0)</x:f>
        <x:v>1</x:v>
      </x:c>
      <x:c r="N183" s="23" t="n">
        <x:v>66824.207</x:v>
      </x:c>
      <x:c r="O183" s="16" t="n">
        <x:f>IF(AND(N183&lt;&gt;"",N183&lt;=60),1,0)</x:f>
        <x:v>0</x:v>
      </x:c>
    </x:row>
    <x:row r="184">
      <x:c r="A184" s="11" t="str">
        <x:v>f6df302b-0b01-41bd-b012-bda893851bb1</x:v>
      </x:c>
      <x:c r="B184" s="12" t="str">
        <x:v>***</x:v>
      </x:c>
      <x:c r="C184" s="13" t="str">
        <x:v>UTC 2026-08-08T23:51:55.430Z</x:v>
      </x:c>
      <x:c r="D184" s="14" t="n">
        <x:v>1</x:v>
      </x:c>
      <x:c r="E184" s="12" t="str">
        <x:v>Investigation</x:v>
      </x:c>
      <x:c r="F184" s="12" t="str">
        <x:v>2026-08-08 18:51:55 CDT</x:v>
      </x:c>
      <x:c r="G184" s="12" t="str">
        <x:v>2026-08-08</x:v>
      </x:c>
      <x:c r="H184" s="15" t="n">
        <x:v>18</x:v>
      </x:c>
      <x:c r="I184" s="12" t="str">
        <x:v>Saturday</x:v>
      </x:c>
      <x:c r="J184" s="12" t="str">
        <x:f>IF(D184=1,"1 network",IF(D184&lt;=135,"133–135 networks",IF(D184&lt;6000,"2,342–2,489 networks","6,248–6,295 networks")))</x:f>
        <x:v>1 network</x:v>
      </x:c>
      <x:c r="K184" s="12" t="n">
        <x:f>IF(OR(H184&lt;6,H184&gt;=22),1,0)</x:f>
        <x:v>0</x:v>
      </x:c>
      <x:c r="L184" s="12" t="n">
        <x:f>IF(COUNTIF($A$2:$A$186,A184)&gt;1,1,0)</x:f>
        <x:v>0</x:v>
      </x:c>
      <x:c r="M184" s="12" t="n">
        <x:f>IF(OR(I184="Saturday",I184="Sunday"),1,0)</x:f>
        <x:v>1</x:v>
      </x:c>
      <x:c r="N184" s="23" t="n">
        <x:v>11080.935</x:v>
      </x:c>
      <x:c r="O184" s="16" t="n">
        <x:f>IF(AND(N184&lt;&gt;"",N184&lt;=60),1,0)</x:f>
        <x:v>0</x:v>
      </x:c>
    </x:row>
    <x:row r="185">
      <x:c r="A185" s="11" t="str">
        <x:v>1333c9c7-a6bc-444c-b9dd-2cc5dd0772f8</x:v>
      </x:c>
      <x:c r="B185" s="12" t="str">
        <x:v>***</x:v>
      </x:c>
      <x:c r="C185" s="13" t="str">
        <x:v>UTC 2026-08-09T12:47:09.568Z</x:v>
      </x:c>
      <x:c r="D185" s="14" t="n">
        <x:v>2418</x:v>
      </x:c>
      <x:c r="E185" s="12" t="str">
        <x:v>Investigation</x:v>
      </x:c>
      <x:c r="F185" s="12" t="str">
        <x:v>2026-08-09 07:47:09 CDT</x:v>
      </x:c>
      <x:c r="G185" s="12" t="str">
        <x:v>2026-08-09</x:v>
      </x:c>
      <x:c r="H185" s="15" t="n">
        <x:v>7</x:v>
      </x:c>
      <x:c r="I185" s="12" t="str">
        <x:v>Sunday</x:v>
      </x:c>
      <x:c r="J185" s="12" t="str">
        <x:f>IF(D185=1,"1 network",IF(D185&lt;=135,"133–135 networks",IF(D185&lt;6000,"2,342–2,489 networks","6,248–6,295 networks")))</x:f>
        <x:v>2,342–2,489 networks</x:v>
      </x:c>
      <x:c r="K185" s="12" t="n">
        <x:f>IF(OR(H185&lt;6,H185&gt;=22),1,0)</x:f>
        <x:v>0</x:v>
      </x:c>
      <x:c r="L185" s="12" t="n">
        <x:f>IF(COUNTIF($A$2:$A$186,A185)&gt;1,1,0)</x:f>
        <x:v>0</x:v>
      </x:c>
      <x:c r="M185" s="12" t="n">
        <x:f>IF(OR(I185="Saturday",I185="Sunday"),1,0)</x:f>
        <x:v>1</x:v>
      </x:c>
      <x:c r="N185" s="23" t="n">
        <x:v>46514.138</x:v>
      </x:c>
      <x:c r="O185" s="16" t="n">
        <x:f>IF(AND(N185&lt;&gt;"",N185&lt;=60),1,0)</x:f>
        <x:v>0</x:v>
      </x:c>
    </x:row>
    <x:row r="186">
      <x:c r="A186" s="17" t="str">
        <x:v>f601cf8f-346a-4cfa-aa76-29324f7b2fdd</x:v>
      </x:c>
      <x:c r="B186" s="18" t="str">
        <x:v>***</x:v>
      </x:c>
      <x:c r="C186" s="19" t="str">
        <x:v>UTC 2026-08-09T23:00:49.565Z</x:v>
      </x:c>
      <x:c r="D186" s="20" t="n">
        <x:v>6248</x:v>
      </x:c>
      <x:c r="E186" s="18" t="str">
        <x:v>Investigation</x:v>
      </x:c>
      <x:c r="F186" s="18" t="str">
        <x:v>2026-08-09 18:00:49 CDT</x:v>
      </x:c>
      <x:c r="G186" s="18" t="str">
        <x:v>2026-08-09</x:v>
      </x:c>
      <x:c r="H186" s="21" t="n">
        <x:v>18</x:v>
      </x:c>
      <x:c r="I186" s="18" t="str">
        <x:v>Sunday</x:v>
      </x:c>
      <x:c r="J186" s="18" t="str">
        <x:f>IF(D186=1,"1 network",IF(D186&lt;=135,"133–135 networks",IF(D186&lt;6000,"2,342–2,489 networks","6,248–6,295 networks")))</x:f>
        <x:v>6,248–6,295 networks</x:v>
      </x:c>
      <x:c r="K186" s="18" t="n">
        <x:f>IF(OR(H186&lt;6,H186&gt;=22),1,0)</x:f>
        <x:v>0</x:v>
      </x:c>
      <x:c r="L186" s="18" t="n">
        <x:f>IF(COUNTIF($A$2:$A$186,A186)&gt;1,1,0)</x:f>
        <x:v>0</x:v>
      </x:c>
      <x:c r="M186" s="18" t="n">
        <x:f>IF(OR(I186="Saturday",I186="Sunday"),1,0)</x:f>
        <x:v>1</x:v>
      </x:c>
      <x:c r="N186" s="24" t="n">
        <x:v>36819.997</x:v>
      </x:c>
      <x:c r="O186" s="22" t="n">
        <x:f>IF(AND(N186&lt;&gt;"",N186&lt;=60),1,0)</x:f>
        <x:v>0</x:v>
      </x:c>
    </x:row>
    <x:row r="188">
      <x:c r="A188" s="27" t="str">
        <x:v>Derived audit checks</x:v>
      </x:c>
      <x:c r="B188" s="28"/>
      <x:c r="C188" s="28"/>
      <x:c r="D188" s="28"/>
      <x:c r="E188" s="28"/>
      <x:c r="F188" s="28"/>
      <x:c r="G188" s="28"/>
      <x:c r="H188" s="28"/>
      <x:c r="I188" s="28"/>
      <x:c r="J188" s="28"/>
      <x:c r="K188" s="28" t="n">
        <x:f>SUM(K2:K186)</x:f>
        <x:v>18</x:v>
      </x:c>
      <x:c r="L188" s="28" t="n">
        <x:f>SUM(L2:L186)</x:f>
        <x:v>0</x:v>
      </x:c>
      <x:c r="M188" s="28" t="n">
        <x:f>SUM(M2:M186)</x:f>
        <x:v>17</x:v>
      </x:c>
      <x:c r="N188" s="28"/>
      <x:c r="O188" s="29" t="n">
        <x:f>SUM(O2:O186)</x:f>
        <x:v>5</x:v>
      </x:c>
    </x:row>
  </x:sheetData>
  <x:mergeCells>
    <x:mergeCell ref="A188:J188"/>
  </x:mergeCells>
  <x:pageMargins left="0.7" right="0.7" top="0.75" bottom="0.75" header="0.3" footer="0.3"/>
  <x:legacyDrawing xmlns:r="http://schemas.openxmlformats.org/officeDocument/2006/relationships" r:id="R34a26ec14a934a96"/>
  <x:tableParts count="1">
    <x:tablePart xmlns:r="http://schemas.openxmlformats.org/officeDocument/2006/relationships" r:id="Rcd96b67882204e0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7" hidden="0" customWidth="1"/>
    <x:col min="2" max="2" width="12" hidden="0" customWidth="1"/>
    <x:col min="3" max="3" width="24" hidden="0" customWidth="1"/>
    <x:col min="4" max="4" width="16" hidden="0" customWidth="1"/>
    <x:col min="5" max="5" width="16" hidden="0" customWidth="1"/>
    <x:col min="6" max="6" width="16" hidden="0" customWidth="1"/>
    <x:col min="7" max="7" width="16" hidden="0" customWidth="1"/>
    <x:col min="8" max="8" width="16" hidden="0" customWidth="1"/>
  </x:cols>
  <x:sheetData>
    <x:row r="1">
      <x:c r="A1" s="30" t="str">
        <x:v>Local date (CDT)</x:v>
      </x:c>
      <x:c r="B1" s="31" t="str">
        <x:v>Searches</x:v>
      </x:c>
      <x:c r="C1" s="31" t="str">
        <x:v>Network-search pairings</x:v>
      </x:c>
      <x:c r="D1" s="31" t="str">
        <x:v>1 network</x:v>
      </x:c>
      <x:c r="E1" s="31" t="str">
        <x:v>133–135</x:v>
      </x:c>
      <x:c r="F1" s="31" t="str">
        <x:v>2,342–2,489</x:v>
      </x:c>
      <x:c r="G1" s="31" t="str">
        <x:v>6,248–6,295</x:v>
      </x:c>
      <x:c r="H1" s="32" t="str">
        <x:v>Off-hours searches</x:v>
      </x:c>
    </x:row>
    <x:row r="2">
      <x:c r="A2" s="11" t="str">
        <x:v>2026-07-11</x:v>
      </x:c>
      <x:c r="B2" s="14" t="n">
        <x:f>COUNTIF('Raw Data'!$G$2:$G$186,A2)</x:f>
        <x:v>4</x:v>
      </x:c>
      <x:c r="C2" s="14" t="n">
        <x:f>SUMIF('Raw Data'!$G$2:$G$186,A2,'Raw Data'!$D$2:$D$186)</x:f>
        <x:v>7518</x:v>
      </x:c>
      <x:c r="D2" s="14" t="n">
        <x:f>COUNTIFS('Raw Data'!$G$2:$G$186,A2,'Raw Data'!$D$2:$D$186,1)</x:f>
        <x:v>0</x:v>
      </x:c>
      <x:c r="E2" s="14" t="n">
        <x:f>COUNTIFS('Raw Data'!$G$2:$G$186,A2,'Raw Data'!$D$2:$D$186,"&gt;=133",'Raw Data'!$D$2:$D$186,"&lt;=135")</x:f>
        <x:v>1</x:v>
      </x:c>
      <x:c r="F2" s="14" t="n">
        <x:f>COUNTIFS('Raw Data'!$G$2:$G$186,A2,'Raw Data'!$D$2:$D$186,"&gt;=2342",'Raw Data'!$D$2:$D$186,"&lt;=2489")</x:f>
        <x:v>3</x:v>
      </x:c>
      <x:c r="G2" s="14" t="n">
        <x:f>COUNTIFS('Raw Data'!$G$2:$G$186,A2,'Raw Data'!$D$2:$D$186,"&gt;=6248",'Raw Data'!$D$2:$D$186,"&lt;=6295")</x:f>
        <x:v>0</x:v>
      </x:c>
      <x:c r="H2" s="33" t="n">
        <x:f>COUNTIFS('Raw Data'!$G$2:$G$186,A2,'Raw Data'!$K$2:$K$186,1)</x:f>
        <x:v>0</x:v>
      </x:c>
    </x:row>
    <x:row r="3">
      <x:c r="A3" s="11" t="str">
        <x:v>2026-07-12</x:v>
      </x:c>
      <x:c r="B3" s="14" t="n">
        <x:f>COUNTIF('Raw Data'!$G$2:$G$186,A3)</x:f>
        <x:v>1</x:v>
      </x:c>
      <x:c r="C3" s="14" t="n">
        <x:f>SUMIF('Raw Data'!$G$2:$G$186,A3,'Raw Data'!$D$2:$D$186)</x:f>
        <x:v>2405</x:v>
      </x:c>
      <x:c r="D3" s="14" t="n">
        <x:f>COUNTIFS('Raw Data'!$G$2:$G$186,A3,'Raw Data'!$D$2:$D$186,1)</x:f>
        <x:v>0</x:v>
      </x:c>
      <x:c r="E3" s="14" t="n">
        <x:f>COUNTIFS('Raw Data'!$G$2:$G$186,A3,'Raw Data'!$D$2:$D$186,"&gt;=133",'Raw Data'!$D$2:$D$186,"&lt;=135")</x:f>
        <x:v>0</x:v>
      </x:c>
      <x:c r="F3" s="14" t="n">
        <x:f>COUNTIFS('Raw Data'!$G$2:$G$186,A3,'Raw Data'!$D$2:$D$186,"&gt;=2342",'Raw Data'!$D$2:$D$186,"&lt;=2489")</x:f>
        <x:v>1</x:v>
      </x:c>
      <x:c r="G3" s="14" t="n">
        <x:f>COUNTIFS('Raw Data'!$G$2:$G$186,A3,'Raw Data'!$D$2:$D$186,"&gt;=6248",'Raw Data'!$D$2:$D$186,"&lt;=6295")</x:f>
        <x:v>0</x:v>
      </x:c>
      <x:c r="H3" s="33" t="n">
        <x:f>COUNTIFS('Raw Data'!$G$2:$G$186,A3,'Raw Data'!$K$2:$K$186,1)</x:f>
        <x:v>0</x:v>
      </x:c>
    </x:row>
    <x:row r="4">
      <x:c r="A4" s="11" t="str">
        <x:v>2026-07-13</x:v>
      </x:c>
      <x:c r="B4" s="14" t="n">
        <x:f>COUNTIF('Raw Data'!$G$2:$G$186,A4)</x:f>
        <x:v>12</x:v>
      </x:c>
      <x:c r="C4" s="14" t="n">
        <x:f>SUMIF('Raw Data'!$G$2:$G$186,A4,'Raw Data'!$D$2:$D$186)</x:f>
        <x:v>24944</x:v>
      </x:c>
      <x:c r="D4" s="14" t="n">
        <x:f>COUNTIFS('Raw Data'!$G$2:$G$186,A4,'Raw Data'!$D$2:$D$186,1)</x:f>
        <x:v>5</x:v>
      </x:c>
      <x:c r="E4" s="14" t="n">
        <x:f>COUNTIFS('Raw Data'!$G$2:$G$186,A4,'Raw Data'!$D$2:$D$186,"&gt;=133",'Raw Data'!$D$2:$D$186,"&lt;=135")</x:f>
        <x:v>0</x:v>
      </x:c>
      <x:c r="F4" s="14" t="n">
        <x:f>COUNTIFS('Raw Data'!$G$2:$G$186,A4,'Raw Data'!$D$2:$D$186,"&gt;=2342",'Raw Data'!$D$2:$D$186,"&lt;=2489")</x:f>
        <x:v>5</x:v>
      </x:c>
      <x:c r="G4" s="14" t="n">
        <x:f>COUNTIFS('Raw Data'!$G$2:$G$186,A4,'Raw Data'!$D$2:$D$186,"&gt;=6248",'Raw Data'!$D$2:$D$186,"&lt;=6295")</x:f>
        <x:v>2</x:v>
      </x:c>
      <x:c r="H4" s="33" t="n">
        <x:f>COUNTIFS('Raw Data'!$G$2:$G$186,A4,'Raw Data'!$K$2:$K$186,1)</x:f>
        <x:v>2</x:v>
      </x:c>
    </x:row>
    <x:row r="5">
      <x:c r="A5" s="11" t="str">
        <x:v>2026-07-14</x:v>
      </x:c>
      <x:c r="B5" s="14" t="n">
        <x:f>COUNTIF('Raw Data'!$G$2:$G$186,A5)</x:f>
        <x:v>17</x:v>
      </x:c>
      <x:c r="C5" s="14" t="n">
        <x:f>SUMIF('Raw Data'!$G$2:$G$186,A5,'Raw Data'!$D$2:$D$186)</x:f>
        <x:v>36585</x:v>
      </x:c>
      <x:c r="D5" s="14" t="n">
        <x:f>COUNTIFS('Raw Data'!$G$2:$G$186,A5,'Raw Data'!$D$2:$D$186,1)</x:f>
        <x:v>4</x:v>
      </x:c>
      <x:c r="E5" s="14" t="n">
        <x:f>COUNTIFS('Raw Data'!$G$2:$G$186,A5,'Raw Data'!$D$2:$D$186,"&gt;=133",'Raw Data'!$D$2:$D$186,"&lt;=135")</x:f>
        <x:v>3</x:v>
      </x:c>
      <x:c r="F5" s="14" t="n">
        <x:f>COUNTIFS('Raw Data'!$G$2:$G$186,A5,'Raw Data'!$D$2:$D$186,"&gt;=2342",'Raw Data'!$D$2:$D$186,"&lt;=2489")</x:f>
        <x:v>7</x:v>
      </x:c>
      <x:c r="G5" s="14" t="n">
        <x:f>COUNTIFS('Raw Data'!$G$2:$G$186,A5,'Raw Data'!$D$2:$D$186,"&gt;=6248",'Raw Data'!$D$2:$D$186,"&lt;=6295")</x:f>
        <x:v>3</x:v>
      </x:c>
      <x:c r="H5" s="33" t="n">
        <x:f>COUNTIFS('Raw Data'!$G$2:$G$186,A5,'Raw Data'!$K$2:$K$186,1)</x:f>
        <x:v>0</x:v>
      </x:c>
    </x:row>
    <x:row r="6">
      <x:c r="A6" s="11" t="str">
        <x:v>2026-07-15</x:v>
      </x:c>
      <x:c r="B6" s="14" t="n">
        <x:f>COUNTIF('Raw Data'!$G$2:$G$186,A6)</x:f>
        <x:v>5</x:v>
      </x:c>
      <x:c r="C6" s="14" t="n">
        <x:f>SUMIF('Raw Data'!$G$2:$G$186,A6,'Raw Data'!$D$2:$D$186)</x:f>
        <x:v>11389</x:v>
      </x:c>
      <x:c r="D6" s="14" t="n">
        <x:f>COUNTIFS('Raw Data'!$G$2:$G$186,A6,'Raw Data'!$D$2:$D$186,1)</x:f>
        <x:v>1</x:v>
      </x:c>
      <x:c r="E6" s="14" t="n">
        <x:f>COUNTIFS('Raw Data'!$G$2:$G$186,A6,'Raw Data'!$D$2:$D$186,"&gt;=133",'Raw Data'!$D$2:$D$186,"&lt;=135")</x:f>
        <x:v>1</x:v>
      </x:c>
      <x:c r="F6" s="14" t="n">
        <x:f>COUNTIFS('Raw Data'!$G$2:$G$186,A6,'Raw Data'!$D$2:$D$186,"&gt;=2342",'Raw Data'!$D$2:$D$186,"&lt;=2489")</x:f>
        <x:v>2</x:v>
      </x:c>
      <x:c r="G6" s="14" t="n">
        <x:f>COUNTIFS('Raw Data'!$G$2:$G$186,A6,'Raw Data'!$D$2:$D$186,"&gt;=6248",'Raw Data'!$D$2:$D$186,"&lt;=6295")</x:f>
        <x:v>1</x:v>
      </x:c>
      <x:c r="H6" s="33" t="n">
        <x:f>COUNTIFS('Raw Data'!$G$2:$G$186,A6,'Raw Data'!$K$2:$K$186,1)</x:f>
        <x:v>1</x:v>
      </x:c>
    </x:row>
    <x:row r="7">
      <x:c r="A7" s="11" t="str">
        <x:v>2026-07-16</x:v>
      </x:c>
      <x:c r="B7" s="14" t="n">
        <x:f>COUNTIF('Raw Data'!$G$2:$G$186,A7)</x:f>
        <x:v>4</x:v>
      </x:c>
      <x:c r="C7" s="14" t="n">
        <x:f>SUMIF('Raw Data'!$G$2:$G$186,A7,'Raw Data'!$D$2:$D$186)</x:f>
        <x:v>7447</x:v>
      </x:c>
      <x:c r="D7" s="14" t="n">
        <x:f>COUNTIFS('Raw Data'!$G$2:$G$186,A7,'Raw Data'!$D$2:$D$186,1)</x:f>
        <x:v>1</x:v>
      </x:c>
      <x:c r="E7" s="14" t="n">
        <x:f>COUNTIFS('Raw Data'!$G$2:$G$186,A7,'Raw Data'!$D$2:$D$186,"&gt;=133",'Raw Data'!$D$2:$D$186,"&lt;=135")</x:f>
        <x:v>0</x:v>
      </x:c>
      <x:c r="F7" s="14" t="n">
        <x:f>COUNTIFS('Raw Data'!$G$2:$G$186,A7,'Raw Data'!$D$2:$D$186,"&gt;=2342",'Raw Data'!$D$2:$D$186,"&lt;=2489")</x:f>
        <x:v>3</x:v>
      </x:c>
      <x:c r="G7" s="14" t="n">
        <x:f>COUNTIFS('Raw Data'!$G$2:$G$186,A7,'Raw Data'!$D$2:$D$186,"&gt;=6248",'Raw Data'!$D$2:$D$186,"&lt;=6295")</x:f>
        <x:v>0</x:v>
      </x:c>
      <x:c r="H7" s="33" t="n">
        <x:f>COUNTIFS('Raw Data'!$G$2:$G$186,A7,'Raw Data'!$K$2:$K$186,1)</x:f>
        <x:v>1</x:v>
      </x:c>
    </x:row>
    <x:row r="8">
      <x:c r="A8" s="11" t="str">
        <x:v>2026-07-17</x:v>
      </x:c>
      <x:c r="B8" s="14" t="n">
        <x:f>COUNTIF('Raw Data'!$G$2:$G$186,A8)</x:f>
        <x:v>8</x:v>
      </x:c>
      <x:c r="C8" s="14" t="n">
        <x:f>SUMIF('Raw Data'!$G$2:$G$186,A8,'Raw Data'!$D$2:$D$186)</x:f>
        <x:v>18668</x:v>
      </x:c>
      <x:c r="D8" s="14" t="n">
        <x:f>COUNTIFS('Raw Data'!$G$2:$G$186,A8,'Raw Data'!$D$2:$D$186,1)</x:f>
        <x:v>1</x:v>
      </x:c>
      <x:c r="E8" s="14" t="n">
        <x:f>COUNTIFS('Raw Data'!$G$2:$G$186,A8,'Raw Data'!$D$2:$D$186,"&gt;=133",'Raw Data'!$D$2:$D$186,"&lt;=135")</x:f>
        <x:v>1</x:v>
      </x:c>
      <x:c r="F8" s="14" t="n">
        <x:f>COUNTIFS('Raw Data'!$G$2:$G$186,A8,'Raw Data'!$D$2:$D$186,"&gt;=2342",'Raw Data'!$D$2:$D$186,"&lt;=2489")</x:f>
        <x:v>5</x:v>
      </x:c>
      <x:c r="G8" s="14" t="n">
        <x:f>COUNTIFS('Raw Data'!$G$2:$G$186,A8,'Raw Data'!$D$2:$D$186,"&gt;=6248",'Raw Data'!$D$2:$D$186,"&lt;=6295")</x:f>
        <x:v>1</x:v>
      </x:c>
      <x:c r="H8" s="33" t="n">
        <x:f>COUNTIFS('Raw Data'!$G$2:$G$186,A8,'Raw Data'!$K$2:$K$186,1)</x:f>
        <x:v>1</x:v>
      </x:c>
    </x:row>
    <x:row r="9">
      <x:c r="A9" s="11" t="str">
        <x:v>2026-07-18</x:v>
      </x:c>
      <x:c r="B9" s="14" t="n">
        <x:f>COUNTIF('Raw Data'!$G$2:$G$186,A9)</x:f>
        <x:v>4</x:v>
      </x:c>
      <x:c r="C9" s="14" t="n">
        <x:f>SUMIF('Raw Data'!$G$2:$G$186,A9,'Raw Data'!$D$2:$D$186)</x:f>
        <x:v>5149</x:v>
      </x:c>
      <x:c r="D9" s="14" t="n">
        <x:f>COUNTIFS('Raw Data'!$G$2:$G$186,A9,'Raw Data'!$D$2:$D$186,1)</x:f>
        <x:v>0</x:v>
      </x:c>
      <x:c r="E9" s="14" t="n">
        <x:f>COUNTIFS('Raw Data'!$G$2:$G$186,A9,'Raw Data'!$D$2:$D$186,"&gt;=133",'Raw Data'!$D$2:$D$186,"&lt;=135")</x:f>
        <x:v>2</x:v>
      </x:c>
      <x:c r="F9" s="14" t="n">
        <x:f>COUNTIFS('Raw Data'!$G$2:$G$186,A9,'Raw Data'!$D$2:$D$186,"&gt;=2342",'Raw Data'!$D$2:$D$186,"&lt;=2489")</x:f>
        <x:v>2</x:v>
      </x:c>
      <x:c r="G9" s="14" t="n">
        <x:f>COUNTIFS('Raw Data'!$G$2:$G$186,A9,'Raw Data'!$D$2:$D$186,"&gt;=6248",'Raw Data'!$D$2:$D$186,"&lt;=6295")</x:f>
        <x:v>0</x:v>
      </x:c>
      <x:c r="H9" s="33" t="n">
        <x:f>COUNTIFS('Raw Data'!$G$2:$G$186,A9,'Raw Data'!$K$2:$K$186,1)</x:f>
        <x:v>0</x:v>
      </x:c>
    </x:row>
    <x:row r="10">
      <x:c r="A10" s="11" t="str">
        <x:v>2026-07-19</x:v>
      </x:c>
      <x:c r="B10" s="14" t="n">
        <x:f>COUNTIF('Raw Data'!$G$2:$G$186,A10)</x:f>
        <x:v>2</x:v>
      </x:c>
      <x:c r="C10" s="14" t="n">
        <x:f>SUMIF('Raw Data'!$G$2:$G$186,A10,'Raw Data'!$D$2:$D$186)</x:f>
        <x:v>8697</x:v>
      </x:c>
      <x:c r="D10" s="14" t="n">
        <x:f>COUNTIFS('Raw Data'!$G$2:$G$186,A10,'Raw Data'!$D$2:$D$186,1)</x:f>
        <x:v>0</x:v>
      </x:c>
      <x:c r="E10" s="14" t="n">
        <x:f>COUNTIFS('Raw Data'!$G$2:$G$186,A10,'Raw Data'!$D$2:$D$186,"&gt;=133",'Raw Data'!$D$2:$D$186,"&lt;=135")</x:f>
        <x:v>0</x:v>
      </x:c>
      <x:c r="F10" s="14" t="n">
        <x:f>COUNTIFS('Raw Data'!$G$2:$G$186,A10,'Raw Data'!$D$2:$D$186,"&gt;=2342",'Raw Data'!$D$2:$D$186,"&lt;=2489")</x:f>
        <x:v>1</x:v>
      </x:c>
      <x:c r="G10" s="14" t="n">
        <x:f>COUNTIFS('Raw Data'!$G$2:$G$186,A10,'Raw Data'!$D$2:$D$186,"&gt;=6248",'Raw Data'!$D$2:$D$186,"&lt;=6295")</x:f>
        <x:v>1</x:v>
      </x:c>
      <x:c r="H10" s="33" t="n">
        <x:f>COUNTIFS('Raw Data'!$G$2:$G$186,A10,'Raw Data'!$K$2:$K$186,1)</x:f>
        <x:v>0</x:v>
      </x:c>
    </x:row>
    <x:row r="11">
      <x:c r="A11" s="11" t="str">
        <x:v>2026-07-20</x:v>
      </x:c>
      <x:c r="B11" s="14" t="n">
        <x:f>COUNTIF('Raw Data'!$G$2:$G$186,A11)</x:f>
        <x:v>10</x:v>
      </x:c>
      <x:c r="C11" s="14" t="n">
        <x:f>SUMIF('Raw Data'!$G$2:$G$186,A11,'Raw Data'!$D$2:$D$186)</x:f>
        <x:v>10579</x:v>
      </x:c>
      <x:c r="D11" s="14" t="n">
        <x:f>COUNTIFS('Raw Data'!$G$2:$G$186,A11,'Raw Data'!$D$2:$D$186,1)</x:f>
        <x:v>1</x:v>
      </x:c>
      <x:c r="E11" s="14" t="n">
        <x:f>COUNTIFS('Raw Data'!$G$2:$G$186,A11,'Raw Data'!$D$2:$D$186,"&gt;=133",'Raw Data'!$D$2:$D$186,"&lt;=135")</x:f>
        <x:v>5</x:v>
      </x:c>
      <x:c r="F11" s="14" t="n">
        <x:f>COUNTIFS('Raw Data'!$G$2:$G$186,A11,'Raw Data'!$D$2:$D$186,"&gt;=2342",'Raw Data'!$D$2:$D$186,"&lt;=2489")</x:f>
        <x:v>4</x:v>
      </x:c>
      <x:c r="G11" s="14" t="n">
        <x:f>COUNTIFS('Raw Data'!$G$2:$G$186,A11,'Raw Data'!$D$2:$D$186,"&gt;=6248",'Raw Data'!$D$2:$D$186,"&lt;=6295")</x:f>
        <x:v>0</x:v>
      </x:c>
      <x:c r="H11" s="33" t="n">
        <x:f>COUNTIFS('Raw Data'!$G$2:$G$186,A11,'Raw Data'!$K$2:$K$186,1)</x:f>
        <x:v>1</x:v>
      </x:c>
    </x:row>
    <x:row r="12">
      <x:c r="A12" s="11" t="str">
        <x:v>2026-07-21</x:v>
      </x:c>
      <x:c r="B12" s="14" t="n">
        <x:f>COUNTIF('Raw Data'!$G$2:$G$186,A12)</x:f>
        <x:v>7</x:v>
      </x:c>
      <x:c r="C12" s="14" t="n">
        <x:f>SUMIF('Raw Data'!$G$2:$G$186,A12,'Raw Data'!$D$2:$D$186)</x:f>
        <x:v>3144</x:v>
      </x:c>
      <x:c r="D12" s="14" t="n">
        <x:f>COUNTIFS('Raw Data'!$G$2:$G$186,A12,'Raw Data'!$D$2:$D$186,1)</x:f>
        <x:v>1</x:v>
      </x:c>
      <x:c r="E12" s="14" t="n">
        <x:f>COUNTIFS('Raw Data'!$G$2:$G$186,A12,'Raw Data'!$D$2:$D$186,"&gt;=133",'Raw Data'!$D$2:$D$186,"&lt;=135")</x:f>
        <x:v>5</x:v>
      </x:c>
      <x:c r="F12" s="14" t="n">
        <x:f>COUNTIFS('Raw Data'!$G$2:$G$186,A12,'Raw Data'!$D$2:$D$186,"&gt;=2342",'Raw Data'!$D$2:$D$186,"&lt;=2489")</x:f>
        <x:v>1</x:v>
      </x:c>
      <x:c r="G12" s="14" t="n">
        <x:f>COUNTIFS('Raw Data'!$G$2:$G$186,A12,'Raw Data'!$D$2:$D$186,"&gt;=6248",'Raw Data'!$D$2:$D$186,"&lt;=6295")</x:f>
        <x:v>0</x:v>
      </x:c>
      <x:c r="H12" s="33" t="n">
        <x:f>COUNTIFS('Raw Data'!$G$2:$G$186,A12,'Raw Data'!$K$2:$K$186,1)</x:f>
        <x:v>3</x:v>
      </x:c>
    </x:row>
    <x:row r="13">
      <x:c r="A13" s="11" t="str">
        <x:v>2026-07-22</x:v>
      </x:c>
      <x:c r="B13" s="14" t="n">
        <x:f>COUNTIF('Raw Data'!$G$2:$G$186,A13)</x:f>
        <x:v>10</x:v>
      </x:c>
      <x:c r="C13" s="14" t="n">
        <x:f>SUMIF('Raw Data'!$G$2:$G$186,A13,'Raw Data'!$D$2:$D$186)</x:f>
        <x:v>16580</x:v>
      </x:c>
      <x:c r="D13" s="14" t="n">
        <x:f>COUNTIFS('Raw Data'!$G$2:$G$186,A13,'Raw Data'!$D$2:$D$186,1)</x:f>
        <x:v>2</x:v>
      </x:c>
      <x:c r="E13" s="14" t="n">
        <x:f>COUNTIFS('Raw Data'!$G$2:$G$186,A13,'Raw Data'!$D$2:$D$186,"&gt;=133",'Raw Data'!$D$2:$D$186,"&lt;=135")</x:f>
        <x:v>3</x:v>
      </x:c>
      <x:c r="F13" s="14" t="n">
        <x:f>COUNTIFS('Raw Data'!$G$2:$G$186,A13,'Raw Data'!$D$2:$D$186,"&gt;=2342",'Raw Data'!$D$2:$D$186,"&lt;=2489")</x:f>
        <x:v>4</x:v>
      </x:c>
      <x:c r="G13" s="14" t="n">
        <x:f>COUNTIFS('Raw Data'!$G$2:$G$186,A13,'Raw Data'!$D$2:$D$186,"&gt;=6248",'Raw Data'!$D$2:$D$186,"&lt;=6295")</x:f>
        <x:v>1</x:v>
      </x:c>
      <x:c r="H13" s="33" t="n">
        <x:f>COUNTIFS('Raw Data'!$G$2:$G$186,A13,'Raw Data'!$K$2:$K$186,1)</x:f>
        <x:v>1</x:v>
      </x:c>
    </x:row>
    <x:row r="14">
      <x:c r="A14" s="11" t="str">
        <x:v>2026-07-23</x:v>
      </x:c>
      <x:c r="B14" s="14" t="n">
        <x:f>COUNTIF('Raw Data'!$G$2:$G$186,A14)</x:f>
        <x:v>12</x:v>
      </x:c>
      <x:c r="C14" s="14" t="n">
        <x:f>SUMIF('Raw Data'!$G$2:$G$186,A14,'Raw Data'!$D$2:$D$186)</x:f>
        <x:v>11632</x:v>
      </x:c>
      <x:c r="D14" s="14" t="n">
        <x:f>COUNTIFS('Raw Data'!$G$2:$G$186,A14,'Raw Data'!$D$2:$D$186,1)</x:f>
        <x:v>6</x:v>
      </x:c>
      <x:c r="E14" s="14" t="n">
        <x:f>COUNTIFS('Raw Data'!$G$2:$G$186,A14,'Raw Data'!$D$2:$D$186,"&gt;=133",'Raw Data'!$D$2:$D$186,"&lt;=135")</x:f>
        <x:v>3</x:v>
      </x:c>
      <x:c r="F14" s="14" t="n">
        <x:f>COUNTIFS('Raw Data'!$G$2:$G$186,A14,'Raw Data'!$D$2:$D$186,"&gt;=2342",'Raw Data'!$D$2:$D$186,"&lt;=2489")</x:f>
        <x:v>2</x:v>
      </x:c>
      <x:c r="G14" s="14" t="n">
        <x:f>COUNTIFS('Raw Data'!$G$2:$G$186,A14,'Raw Data'!$D$2:$D$186,"&gt;=6248",'Raw Data'!$D$2:$D$186,"&lt;=6295")</x:f>
        <x:v>1</x:v>
      </x:c>
      <x:c r="H14" s="33" t="n">
        <x:f>COUNTIFS('Raw Data'!$G$2:$G$186,A14,'Raw Data'!$K$2:$K$186,1)</x:f>
        <x:v>0</x:v>
      </x:c>
    </x:row>
    <x:row r="15">
      <x:c r="A15" s="11" t="str">
        <x:v>2026-07-24</x:v>
      </x:c>
      <x:c r="B15" s="14" t="n">
        <x:f>COUNTIF('Raw Data'!$G$2:$G$186,A15)</x:f>
        <x:v>13</x:v>
      </x:c>
      <x:c r="C15" s="14" t="n">
        <x:f>SUMIF('Raw Data'!$G$2:$G$186,A15,'Raw Data'!$D$2:$D$186)</x:f>
        <x:v>48940</x:v>
      </x:c>
      <x:c r="D15" s="14" t="n">
        <x:f>COUNTIFS('Raw Data'!$G$2:$G$186,A15,'Raw Data'!$D$2:$D$186,1)</x:f>
        <x:v>4</x:v>
      </x:c>
      <x:c r="E15" s="14" t="n">
        <x:f>COUNTIFS('Raw Data'!$G$2:$G$186,A15,'Raw Data'!$D$2:$D$186,"&gt;=133",'Raw Data'!$D$2:$D$186,"&lt;=135")</x:f>
        <x:v>0</x:v>
      </x:c>
      <x:c r="F15" s="14" t="n">
        <x:f>COUNTIFS('Raw Data'!$G$2:$G$186,A15,'Raw Data'!$D$2:$D$186,"&gt;=2342",'Raw Data'!$D$2:$D$186,"&lt;=2489")</x:f>
        <x:v>2</x:v>
      </x:c>
      <x:c r="G15" s="14" t="n">
        <x:f>COUNTIFS('Raw Data'!$G$2:$G$186,A15,'Raw Data'!$D$2:$D$186,"&gt;=6248",'Raw Data'!$D$2:$D$186,"&lt;=6295")</x:f>
        <x:v>7</x:v>
      </x:c>
      <x:c r="H15" s="33" t="n">
        <x:f>COUNTIFS('Raw Data'!$G$2:$G$186,A15,'Raw Data'!$K$2:$K$186,1)</x:f>
        <x:v>1</x:v>
      </x:c>
    </x:row>
    <x:row r="16">
      <x:c r="A16" s="11" t="str">
        <x:v>2026-07-25</x:v>
      </x:c>
      <x:c r="B16" s="14" t="n">
        <x:f>COUNTIF('Raw Data'!$G$2:$G$186,A16)</x:f>
        <x:v>0</x:v>
      </x:c>
      <x:c r="C16" s="14" t="n">
        <x:f>SUMIF('Raw Data'!$G$2:$G$186,A16,'Raw Data'!$D$2:$D$186)</x:f>
        <x:v>0</x:v>
      </x:c>
      <x:c r="D16" s="14" t="n">
        <x:f>COUNTIFS('Raw Data'!$G$2:$G$186,A16,'Raw Data'!$D$2:$D$186,1)</x:f>
        <x:v>0</x:v>
      </x:c>
      <x:c r="E16" s="14" t="n">
        <x:f>COUNTIFS('Raw Data'!$G$2:$G$186,A16,'Raw Data'!$D$2:$D$186,"&gt;=133",'Raw Data'!$D$2:$D$186,"&lt;=135")</x:f>
        <x:v>0</x:v>
      </x:c>
      <x:c r="F16" s="14" t="n">
        <x:f>COUNTIFS('Raw Data'!$G$2:$G$186,A16,'Raw Data'!$D$2:$D$186,"&gt;=2342",'Raw Data'!$D$2:$D$186,"&lt;=2489")</x:f>
        <x:v>0</x:v>
      </x:c>
      <x:c r="G16" s="14" t="n">
        <x:f>COUNTIFS('Raw Data'!$G$2:$G$186,A16,'Raw Data'!$D$2:$D$186,"&gt;=6248",'Raw Data'!$D$2:$D$186,"&lt;=6295")</x:f>
        <x:v>0</x:v>
      </x:c>
      <x:c r="H16" s="33" t="n">
        <x:f>COUNTIFS('Raw Data'!$G$2:$G$186,A16,'Raw Data'!$K$2:$K$186,1)</x:f>
        <x:v>0</x:v>
      </x:c>
    </x:row>
    <x:row r="17">
      <x:c r="A17" s="11" t="str">
        <x:v>2026-07-26</x:v>
      </x:c>
      <x:c r="B17" s="14" t="n">
        <x:f>COUNTIF('Raw Data'!$G$2:$G$186,A17)</x:f>
        <x:v>1</x:v>
      </x:c>
      <x:c r="C17" s="14" t="n">
        <x:f>SUMIF('Raw Data'!$G$2:$G$186,A17,'Raw Data'!$D$2:$D$186)</x:f>
        <x:v>2466</x:v>
      </x:c>
      <x:c r="D17" s="14" t="n">
        <x:f>COUNTIFS('Raw Data'!$G$2:$G$186,A17,'Raw Data'!$D$2:$D$186,1)</x:f>
        <x:v>0</x:v>
      </x:c>
      <x:c r="E17" s="14" t="n">
        <x:f>COUNTIFS('Raw Data'!$G$2:$G$186,A17,'Raw Data'!$D$2:$D$186,"&gt;=133",'Raw Data'!$D$2:$D$186,"&lt;=135")</x:f>
        <x:v>0</x:v>
      </x:c>
      <x:c r="F17" s="14" t="n">
        <x:f>COUNTIFS('Raw Data'!$G$2:$G$186,A17,'Raw Data'!$D$2:$D$186,"&gt;=2342",'Raw Data'!$D$2:$D$186,"&lt;=2489")</x:f>
        <x:v>1</x:v>
      </x:c>
      <x:c r="G17" s="14" t="n">
        <x:f>COUNTIFS('Raw Data'!$G$2:$G$186,A17,'Raw Data'!$D$2:$D$186,"&gt;=6248",'Raw Data'!$D$2:$D$186,"&lt;=6295")</x:f>
        <x:v>0</x:v>
      </x:c>
      <x:c r="H17" s="33" t="n">
        <x:f>COUNTIFS('Raw Data'!$G$2:$G$186,A17,'Raw Data'!$K$2:$K$186,1)</x:f>
        <x:v>0</x:v>
      </x:c>
    </x:row>
    <x:row r="18">
      <x:c r="A18" s="11" t="str">
        <x:v>2026-07-27</x:v>
      </x:c>
      <x:c r="B18" s="14" t="n">
        <x:f>COUNTIF('Raw Data'!$G$2:$G$186,A18)</x:f>
        <x:v>7</x:v>
      </x:c>
      <x:c r="C18" s="14" t="n">
        <x:f>SUMIF('Raw Data'!$G$2:$G$186,A18,'Raw Data'!$D$2:$D$186)</x:f>
        <x:v>7660</x:v>
      </x:c>
      <x:c r="D18" s="14" t="n">
        <x:f>COUNTIFS('Raw Data'!$G$2:$G$186,A18,'Raw Data'!$D$2:$D$186,1)</x:f>
        <x:v>2</x:v>
      </x:c>
      <x:c r="E18" s="14" t="n">
        <x:f>COUNTIFS('Raw Data'!$G$2:$G$186,A18,'Raw Data'!$D$2:$D$186,"&gt;=133",'Raw Data'!$D$2:$D$186,"&lt;=135")</x:f>
        <x:v>2</x:v>
      </x:c>
      <x:c r="F18" s="14" t="n">
        <x:f>COUNTIFS('Raw Data'!$G$2:$G$186,A18,'Raw Data'!$D$2:$D$186,"&gt;=2342",'Raw Data'!$D$2:$D$186,"&lt;=2489")</x:f>
        <x:v>3</x:v>
      </x:c>
      <x:c r="G18" s="14" t="n">
        <x:f>COUNTIFS('Raw Data'!$G$2:$G$186,A18,'Raw Data'!$D$2:$D$186,"&gt;=6248",'Raw Data'!$D$2:$D$186,"&lt;=6295")</x:f>
        <x:v>0</x:v>
      </x:c>
      <x:c r="H18" s="33" t="n">
        <x:f>COUNTIFS('Raw Data'!$G$2:$G$186,A18,'Raw Data'!$K$2:$K$186,1)</x:f>
        <x:v>0</x:v>
      </x:c>
    </x:row>
    <x:row r="19">
      <x:c r="A19" s="11" t="str">
        <x:v>2026-07-28</x:v>
      </x:c>
      <x:c r="B19" s="14" t="n">
        <x:f>COUNTIF('Raw Data'!$G$2:$G$186,A19)</x:f>
        <x:v>5</x:v>
      </x:c>
      <x:c r="C19" s="14" t="n">
        <x:f>SUMIF('Raw Data'!$G$2:$G$186,A19,'Raw Data'!$D$2:$D$186)</x:f>
        <x:v>17413</x:v>
      </x:c>
      <x:c r="D19" s="14" t="n">
        <x:f>COUNTIFS('Raw Data'!$G$2:$G$186,A19,'Raw Data'!$D$2:$D$186,1)</x:f>
        <x:v>1</x:v>
      </x:c>
      <x:c r="E19" s="14" t="n">
        <x:f>COUNTIFS('Raw Data'!$G$2:$G$186,A19,'Raw Data'!$D$2:$D$186,"&gt;=133",'Raw Data'!$D$2:$D$186,"&lt;=135")</x:f>
        <x:v>0</x:v>
      </x:c>
      <x:c r="F19" s="14" t="n">
        <x:f>COUNTIFS('Raw Data'!$G$2:$G$186,A19,'Raw Data'!$D$2:$D$186,"&gt;=2342",'Raw Data'!$D$2:$D$186,"&lt;=2489")</x:f>
        <x:v>2</x:v>
      </x:c>
      <x:c r="G19" s="14" t="n">
        <x:f>COUNTIFS('Raw Data'!$G$2:$G$186,A19,'Raw Data'!$D$2:$D$186,"&gt;=6248",'Raw Data'!$D$2:$D$186,"&lt;=6295")</x:f>
        <x:v>2</x:v>
      </x:c>
      <x:c r="H19" s="33" t="n">
        <x:f>COUNTIFS('Raw Data'!$G$2:$G$186,A19,'Raw Data'!$K$2:$K$186,1)</x:f>
        <x:v>0</x:v>
      </x:c>
    </x:row>
    <x:row r="20">
      <x:c r="A20" s="11" t="str">
        <x:v>2026-07-29</x:v>
      </x:c>
      <x:c r="B20" s="14" t="n">
        <x:f>COUNTIF('Raw Data'!$G$2:$G$186,A20)</x:f>
        <x:v>4</x:v>
      </x:c>
      <x:c r="C20" s="14" t="n">
        <x:f>SUMIF('Raw Data'!$G$2:$G$186,A20,'Raw Data'!$D$2:$D$186)</x:f>
        <x:v>5186</x:v>
      </x:c>
      <x:c r="D20" s="14" t="n">
        <x:f>COUNTIFS('Raw Data'!$G$2:$G$186,A20,'Raw Data'!$D$2:$D$186,1)</x:f>
        <x:v>0</x:v>
      </x:c>
      <x:c r="E20" s="14" t="n">
        <x:f>COUNTIFS('Raw Data'!$G$2:$G$186,A20,'Raw Data'!$D$2:$D$186,"&gt;=133",'Raw Data'!$D$2:$D$186,"&lt;=135")</x:f>
        <x:v>2</x:v>
      </x:c>
      <x:c r="F20" s="14" t="n">
        <x:f>COUNTIFS('Raw Data'!$G$2:$G$186,A20,'Raw Data'!$D$2:$D$186,"&gt;=2342",'Raw Data'!$D$2:$D$186,"&lt;=2489")</x:f>
        <x:v>2</x:v>
      </x:c>
      <x:c r="G20" s="14" t="n">
        <x:f>COUNTIFS('Raw Data'!$G$2:$G$186,A20,'Raw Data'!$D$2:$D$186,"&gt;=6248",'Raw Data'!$D$2:$D$186,"&lt;=6295")</x:f>
        <x:v>0</x:v>
      </x:c>
      <x:c r="H20" s="33" t="n">
        <x:f>COUNTIFS('Raw Data'!$G$2:$G$186,A20,'Raw Data'!$K$2:$K$186,1)</x:f>
        <x:v>0</x:v>
      </x:c>
    </x:row>
    <x:row r="21">
      <x:c r="A21" s="11" t="str">
        <x:v>2026-07-30</x:v>
      </x:c>
      <x:c r="B21" s="14" t="n">
        <x:f>COUNTIF('Raw Data'!$G$2:$G$186,A21)</x:f>
        <x:v>6</x:v>
      </x:c>
      <x:c r="C21" s="14" t="n">
        <x:f>SUMIF('Raw Data'!$G$2:$G$186,A21,'Raw Data'!$D$2:$D$186)</x:f>
        <x:v>7552</x:v>
      </x:c>
      <x:c r="D21" s="14" t="n">
        <x:f>COUNTIFS('Raw Data'!$G$2:$G$186,A21,'Raw Data'!$D$2:$D$186,1)</x:f>
        <x:v>1</x:v>
      </x:c>
      <x:c r="E21" s="14" t="n">
        <x:f>COUNTIFS('Raw Data'!$G$2:$G$186,A21,'Raw Data'!$D$2:$D$186,"&gt;=133",'Raw Data'!$D$2:$D$186,"&lt;=135")</x:f>
        <x:v>2</x:v>
      </x:c>
      <x:c r="F21" s="14" t="n">
        <x:f>COUNTIFS('Raw Data'!$G$2:$G$186,A21,'Raw Data'!$D$2:$D$186,"&gt;=2342",'Raw Data'!$D$2:$D$186,"&lt;=2489")</x:f>
        <x:v>3</x:v>
      </x:c>
      <x:c r="G21" s="14" t="n">
        <x:f>COUNTIFS('Raw Data'!$G$2:$G$186,A21,'Raw Data'!$D$2:$D$186,"&gt;=6248",'Raw Data'!$D$2:$D$186,"&lt;=6295")</x:f>
        <x:v>0</x:v>
      </x:c>
      <x:c r="H21" s="33" t="n">
        <x:f>COUNTIFS('Raw Data'!$G$2:$G$186,A21,'Raw Data'!$K$2:$K$186,1)</x:f>
        <x:v>0</x:v>
      </x:c>
      <x:c r="J21"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K21"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L21"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M21"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N21"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O21"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P21"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Q21"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R21"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row>
    <x:row r="22">
      <x:c r="A22" s="11" t="str">
        <x:v>2026-07-31</x:v>
      </x:c>
      <x:c r="B22" s="14" t="n">
        <x:f>COUNTIF('Raw Data'!$G$2:$G$186,A22)</x:f>
        <x:v>8</x:v>
      </x:c>
      <x:c r="C22" s="14" t="n">
        <x:f>SUMIF('Raw Data'!$G$2:$G$186,A22,'Raw Data'!$D$2:$D$186)</x:f>
        <x:v>7537</x:v>
      </x:c>
      <x:c r="D22" s="14" t="n">
        <x:f>COUNTIFS('Raw Data'!$G$2:$G$186,A22,'Raw Data'!$D$2:$D$186,1)</x:f>
        <x:v>3</x:v>
      </x:c>
      <x:c r="E22" s="14" t="n">
        <x:f>COUNTIFS('Raw Data'!$G$2:$G$186,A22,'Raw Data'!$D$2:$D$186,"&gt;=133",'Raw Data'!$D$2:$D$186,"&lt;=135")</x:f>
        <x:v>2</x:v>
      </x:c>
      <x:c r="F22" s="14" t="n">
        <x:f>COUNTIFS('Raw Data'!$G$2:$G$186,A22,'Raw Data'!$D$2:$D$186,"&gt;=2342",'Raw Data'!$D$2:$D$186,"&lt;=2489")</x:f>
        <x:v>3</x:v>
      </x:c>
      <x:c r="G22" s="14" t="n">
        <x:f>COUNTIFS('Raw Data'!$G$2:$G$186,A22,'Raw Data'!$D$2:$D$186,"&gt;=6248",'Raw Data'!$D$2:$D$186,"&lt;=6295")</x:f>
        <x:v>0</x:v>
      </x:c>
      <x:c r="H22" s="33" t="n">
        <x:f>COUNTIFS('Raw Data'!$G$2:$G$186,A22,'Raw Data'!$K$2:$K$186,1)</x:f>
        <x:v>3</x:v>
      </x:c>
      <x:c r="J22"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K22"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L22"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M22"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N22"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O22"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P22"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Q22"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R22"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row>
    <x:row r="23">
      <x:c r="A23" s="11" t="str">
        <x:v>2026-08-01</x:v>
      </x:c>
      <x:c r="B23" s="14" t="n">
        <x:f>COUNTIF('Raw Data'!$G$2:$G$186,A23)</x:f>
        <x:v>0</x:v>
      </x:c>
      <x:c r="C23" s="14" t="n">
        <x:f>SUMIF('Raw Data'!$G$2:$G$186,A23,'Raw Data'!$D$2:$D$186)</x:f>
        <x:v>0</x:v>
      </x:c>
      <x:c r="D23" s="14" t="n">
        <x:f>COUNTIFS('Raw Data'!$G$2:$G$186,A23,'Raw Data'!$D$2:$D$186,1)</x:f>
        <x:v>0</x:v>
      </x:c>
      <x:c r="E23" s="14" t="n">
        <x:f>COUNTIFS('Raw Data'!$G$2:$G$186,A23,'Raw Data'!$D$2:$D$186,"&gt;=133",'Raw Data'!$D$2:$D$186,"&lt;=135")</x:f>
        <x:v>0</x:v>
      </x:c>
      <x:c r="F23" s="14" t="n">
        <x:f>COUNTIFS('Raw Data'!$G$2:$G$186,A23,'Raw Data'!$D$2:$D$186,"&gt;=2342",'Raw Data'!$D$2:$D$186,"&lt;=2489")</x:f>
        <x:v>0</x:v>
      </x:c>
      <x:c r="G23" s="14" t="n">
        <x:f>COUNTIFS('Raw Data'!$G$2:$G$186,A23,'Raw Data'!$D$2:$D$186,"&gt;=6248",'Raw Data'!$D$2:$D$186,"&lt;=6295")</x:f>
        <x:v>0</x:v>
      </x:c>
      <x:c r="H23" s="33" t="n">
        <x:f>COUNTIFS('Raw Data'!$G$2:$G$186,A23,'Raw Data'!$K$2:$K$186,1)</x:f>
        <x:v>0</x:v>
      </x:c>
      <x:c r="J23"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K23"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L23"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M23"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N23"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O23"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P23"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Q23"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R23"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row>
    <x:row r="24">
      <x:c r="A24" s="11" t="str">
        <x:v>2026-08-02</x:v>
      </x:c>
      <x:c r="B24" s="14" t="n">
        <x:f>COUNTIF('Raw Data'!$G$2:$G$186,A24)</x:f>
        <x:v>1</x:v>
      </x:c>
      <x:c r="C24" s="14" t="n">
        <x:f>SUMIF('Raw Data'!$G$2:$G$186,A24,'Raw Data'!$D$2:$D$186)</x:f>
        <x:v>2363</x:v>
      </x:c>
      <x:c r="D24" s="14" t="n">
        <x:f>COUNTIFS('Raw Data'!$G$2:$G$186,A24,'Raw Data'!$D$2:$D$186,1)</x:f>
        <x:v>0</x:v>
      </x:c>
      <x:c r="E24" s="14" t="n">
        <x:f>COUNTIFS('Raw Data'!$G$2:$G$186,A24,'Raw Data'!$D$2:$D$186,"&gt;=133",'Raw Data'!$D$2:$D$186,"&lt;=135")</x:f>
        <x:v>0</x:v>
      </x:c>
      <x:c r="F24" s="14" t="n">
        <x:f>COUNTIFS('Raw Data'!$G$2:$G$186,A24,'Raw Data'!$D$2:$D$186,"&gt;=2342",'Raw Data'!$D$2:$D$186,"&lt;=2489")</x:f>
        <x:v>1</x:v>
      </x:c>
      <x:c r="G24" s="14" t="n">
        <x:f>COUNTIFS('Raw Data'!$G$2:$G$186,A24,'Raw Data'!$D$2:$D$186,"&gt;=6248",'Raw Data'!$D$2:$D$186,"&lt;=6295")</x:f>
        <x:v>0</x:v>
      </x:c>
      <x:c r="H24" s="33" t="n">
        <x:f>COUNTIFS('Raw Data'!$G$2:$G$186,A24,'Raw Data'!$K$2:$K$186,1)</x:f>
        <x:v>0</x:v>
      </x:c>
      <x:c r="J24"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K24"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L24"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M24"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N24"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O24"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P24"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Q24"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R24"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row>
    <x:row r="25">
      <x:c r="A25" s="11" t="str">
        <x:v>2026-08-03</x:v>
      </x:c>
      <x:c r="B25" s="14" t="n">
        <x:f>COUNTIF('Raw Data'!$G$2:$G$186,A25)</x:f>
        <x:v>13</x:v>
      </x:c>
      <x:c r="C25" s="14" t="n">
        <x:f>SUMIF('Raw Data'!$G$2:$G$186,A25,'Raw Data'!$D$2:$D$186)</x:f>
        <x:v>31687</x:v>
      </x:c>
      <x:c r="D25" s="14" t="n">
        <x:f>COUNTIFS('Raw Data'!$G$2:$G$186,A25,'Raw Data'!$D$2:$D$186,1)</x:f>
        <x:v>0</x:v>
      </x:c>
      <x:c r="E25" s="14" t="n">
        <x:f>COUNTIFS('Raw Data'!$G$2:$G$186,A25,'Raw Data'!$D$2:$D$186,"&gt;=133",'Raw Data'!$D$2:$D$186,"&lt;=135")</x:f>
        <x:v>0</x:v>
      </x:c>
      <x:c r="F25" s="14" t="n">
        <x:f>COUNTIFS('Raw Data'!$G$2:$G$186,A25,'Raw Data'!$D$2:$D$186,"&gt;=2342",'Raw Data'!$D$2:$D$186,"&lt;=2489")</x:f>
        <x:v>13</x:v>
      </x:c>
      <x:c r="G25" s="14" t="n">
        <x:f>COUNTIFS('Raw Data'!$G$2:$G$186,A25,'Raw Data'!$D$2:$D$186,"&gt;=6248",'Raw Data'!$D$2:$D$186,"&lt;=6295")</x:f>
        <x:v>0</x:v>
      </x:c>
      <x:c r="H25" s="33" t="n">
        <x:f>COUNTIFS('Raw Data'!$G$2:$G$186,A25,'Raw Data'!$K$2:$K$186,1)</x:f>
        <x:v>0</x:v>
      </x:c>
    </x:row>
    <x:row r="26">
      <x:c r="A26" s="11" t="str">
        <x:v>2026-08-04</x:v>
      </x:c>
      <x:c r="B26" s="14" t="n">
        <x:f>COUNTIF('Raw Data'!$G$2:$G$186,A26)</x:f>
        <x:v>5</x:v>
      </x:c>
      <x:c r="C26" s="14" t="n">
        <x:f>SUMIF('Raw Data'!$G$2:$G$186,A26,'Raw Data'!$D$2:$D$186)</x:f>
        <x:v>5007</x:v>
      </x:c>
      <x:c r="D26" s="14" t="n">
        <x:f>COUNTIFS('Raw Data'!$G$2:$G$186,A26,'Raw Data'!$D$2:$D$186,1)</x:f>
        <x:v>2</x:v>
      </x:c>
      <x:c r="E26" s="14" t="n">
        <x:f>COUNTIFS('Raw Data'!$G$2:$G$186,A26,'Raw Data'!$D$2:$D$186,"&gt;=133",'Raw Data'!$D$2:$D$186,"&lt;=135")</x:f>
        <x:v>1</x:v>
      </x:c>
      <x:c r="F26" s="14" t="n">
        <x:f>COUNTIFS('Raw Data'!$G$2:$G$186,A26,'Raw Data'!$D$2:$D$186,"&gt;=2342",'Raw Data'!$D$2:$D$186,"&lt;=2489")</x:f>
        <x:v>2</x:v>
      </x:c>
      <x:c r="G26" s="14" t="n">
        <x:f>COUNTIFS('Raw Data'!$G$2:$G$186,A26,'Raw Data'!$D$2:$D$186,"&gt;=6248",'Raw Data'!$D$2:$D$186,"&lt;=6295")</x:f>
        <x:v>0</x:v>
      </x:c>
      <x:c r="H26" s="33" t="n">
        <x:f>COUNTIFS('Raw Data'!$G$2:$G$186,A26,'Raw Data'!$K$2:$K$186,1)</x:f>
        <x:v>1</x:v>
      </x:c>
    </x:row>
    <x:row r="27">
      <x:c r="A27" s="11" t="str">
        <x:v>2026-08-05</x:v>
      </x:c>
      <x:c r="B27" s="14" t="n">
        <x:f>COUNTIF('Raw Data'!$G$2:$G$186,A27)</x:f>
        <x:v>7</x:v>
      </x:c>
      <x:c r="C27" s="14" t="n">
        <x:f>SUMIF('Raw Data'!$G$2:$G$186,A27,'Raw Data'!$D$2:$D$186)</x:f>
        <x:v>9915</x:v>
      </x:c>
      <x:c r="D27" s="14" t="n">
        <x:f>COUNTIFS('Raw Data'!$G$2:$G$186,A27,'Raw Data'!$D$2:$D$186,1)</x:f>
        <x:v>1</x:v>
      </x:c>
      <x:c r="E27" s="14" t="n">
        <x:f>COUNTIFS('Raw Data'!$G$2:$G$186,A27,'Raw Data'!$D$2:$D$186,"&gt;=133",'Raw Data'!$D$2:$D$186,"&lt;=135")</x:f>
        <x:v>2</x:v>
      </x:c>
      <x:c r="F27" s="14" t="n">
        <x:f>COUNTIFS('Raw Data'!$G$2:$G$186,A27,'Raw Data'!$D$2:$D$186,"&gt;=2342",'Raw Data'!$D$2:$D$186,"&lt;=2489")</x:f>
        <x:v>4</x:v>
      </x:c>
      <x:c r="G27" s="14" t="n">
        <x:f>COUNTIFS('Raw Data'!$G$2:$G$186,A27,'Raw Data'!$D$2:$D$186,"&gt;=6248",'Raw Data'!$D$2:$D$186,"&lt;=6295")</x:f>
        <x:v>0</x:v>
      </x:c>
      <x:c r="H27" s="33" t="n">
        <x:f>COUNTIFS('Raw Data'!$G$2:$G$186,A27,'Raw Data'!$K$2:$K$186,1)</x:f>
        <x:v>2</x:v>
      </x:c>
    </x:row>
    <x:row r="28">
      <x:c r="A28" s="11" t="str">
        <x:v>2026-08-06</x:v>
      </x:c>
      <x:c r="B28" s="14" t="n">
        <x:f>COUNTIF('Raw Data'!$G$2:$G$186,A28)</x:f>
        <x:v>4</x:v>
      </x:c>
      <x:c r="C28" s="14" t="n">
        <x:f>SUMIF('Raw Data'!$G$2:$G$186,A28,'Raw Data'!$D$2:$D$186)</x:f>
        <x:v>5041</x:v>
      </x:c>
      <x:c r="D28" s="14" t="n">
        <x:f>COUNTIFS('Raw Data'!$G$2:$G$186,A28,'Raw Data'!$D$2:$D$186,1)</x:f>
        <x:v>0</x:v>
      </x:c>
      <x:c r="E28" s="14" t="n">
        <x:f>COUNTIFS('Raw Data'!$G$2:$G$186,A28,'Raw Data'!$D$2:$D$186,"&gt;=133",'Raw Data'!$D$2:$D$186,"&lt;=135")</x:f>
        <x:v>2</x:v>
      </x:c>
      <x:c r="F28" s="14" t="n">
        <x:f>COUNTIFS('Raw Data'!$G$2:$G$186,A28,'Raw Data'!$D$2:$D$186,"&gt;=2342",'Raw Data'!$D$2:$D$186,"&lt;=2489")</x:f>
        <x:v>2</x:v>
      </x:c>
      <x:c r="G28" s="14" t="n">
        <x:f>COUNTIFS('Raw Data'!$G$2:$G$186,A28,'Raw Data'!$D$2:$D$186,"&gt;=6248",'Raw Data'!$D$2:$D$186,"&lt;=6295")</x:f>
        <x:v>0</x:v>
      </x:c>
      <x:c r="H28" s="33" t="n">
        <x:f>COUNTIFS('Raw Data'!$G$2:$G$186,A28,'Raw Data'!$K$2:$K$186,1)</x:f>
        <x:v>1</x:v>
      </x:c>
    </x:row>
    <x:row r="29">
      <x:c r="A29" s="11" t="str">
        <x:v>2026-08-07</x:v>
      </x:c>
      <x:c r="B29" s="14" t="n">
        <x:f>COUNTIF('Raw Data'!$G$2:$G$186,A29)</x:f>
        <x:v>11</x:v>
      </x:c>
      <x:c r="C29" s="14" t="n">
        <x:f>SUMIF('Raw Data'!$G$2:$G$186,A29,'Raw Data'!$D$2:$D$186)</x:f>
        <x:v>13834</x:v>
      </x:c>
      <x:c r="D29" s="14" t="n">
        <x:f>COUNTIFS('Raw Data'!$G$2:$G$186,A29,'Raw Data'!$D$2:$D$186,1)</x:f>
        <x:v>4</x:v>
      </x:c>
      <x:c r="E29" s="14" t="n">
        <x:f>COUNTIFS('Raw Data'!$G$2:$G$186,A29,'Raw Data'!$D$2:$D$186,"&gt;=133",'Raw Data'!$D$2:$D$186,"&lt;=135")</x:f>
        <x:v>3</x:v>
      </x:c>
      <x:c r="F29" s="14" t="n">
        <x:f>COUNTIFS('Raw Data'!$G$2:$G$186,A29,'Raw Data'!$D$2:$D$186,"&gt;=2342",'Raw Data'!$D$2:$D$186,"&lt;=2489")</x:f>
        <x:v>3</x:v>
      </x:c>
      <x:c r="G29" s="14" t="n">
        <x:f>COUNTIFS('Raw Data'!$G$2:$G$186,A29,'Raw Data'!$D$2:$D$186,"&gt;=6248",'Raw Data'!$D$2:$D$186,"&lt;=6295")</x:f>
        <x:v>1</x:v>
      </x:c>
      <x:c r="H29" s="33" t="n">
        <x:f>COUNTIFS('Raw Data'!$G$2:$G$186,A29,'Raw Data'!$K$2:$K$186,1)</x:f>
        <x:v>0</x:v>
      </x:c>
    </x:row>
    <x:row r="30">
      <x:c r="A30" s="11" t="str">
        <x:v>2026-08-08</x:v>
      </x:c>
      <x:c r="B30" s="14" t="n">
        <x:f>COUNTIF('Raw Data'!$G$2:$G$186,A30)</x:f>
        <x:v>2</x:v>
      </x:c>
      <x:c r="C30" s="14" t="n">
        <x:f>SUMIF('Raw Data'!$G$2:$G$186,A30,'Raw Data'!$D$2:$D$186)</x:f>
        <x:v>2419</x:v>
      </x:c>
      <x:c r="D30" s="14" t="n">
        <x:f>COUNTIFS('Raw Data'!$G$2:$G$186,A30,'Raw Data'!$D$2:$D$186,1)</x:f>
        <x:v>1</x:v>
      </x:c>
      <x:c r="E30" s="14" t="n">
        <x:f>COUNTIFS('Raw Data'!$G$2:$G$186,A30,'Raw Data'!$D$2:$D$186,"&gt;=133",'Raw Data'!$D$2:$D$186,"&lt;=135")</x:f>
        <x:v>0</x:v>
      </x:c>
      <x:c r="F30" s="14" t="n">
        <x:f>COUNTIFS('Raw Data'!$G$2:$G$186,A30,'Raw Data'!$D$2:$D$186,"&gt;=2342",'Raw Data'!$D$2:$D$186,"&lt;=2489")</x:f>
        <x:v>1</x:v>
      </x:c>
      <x:c r="G30" s="14" t="n">
        <x:f>COUNTIFS('Raw Data'!$G$2:$G$186,A30,'Raw Data'!$D$2:$D$186,"&gt;=6248",'Raw Data'!$D$2:$D$186,"&lt;=6295")</x:f>
        <x:v>0</x:v>
      </x:c>
      <x:c r="H30" s="33" t="n">
        <x:f>COUNTIFS('Raw Data'!$G$2:$G$186,A30,'Raw Data'!$K$2:$K$186,1)</x:f>
        <x:v>0</x:v>
      </x:c>
    </x:row>
    <x:row r="31">
      <x:c r="A31" s="17" t="str">
        <x:v>2026-08-09</x:v>
      </x:c>
      <x:c r="B31" s="20" t="n">
        <x:f>COUNTIF('Raw Data'!$G$2:$G$186,A31)</x:f>
        <x:v>2</x:v>
      </x:c>
      <x:c r="C31" s="20" t="n">
        <x:f>SUMIF('Raw Data'!$G$2:$G$186,A31,'Raw Data'!$D$2:$D$186)</x:f>
        <x:v>8666</x:v>
      </x:c>
      <x:c r="D31" s="20" t="n">
        <x:f>COUNTIFS('Raw Data'!$G$2:$G$186,A31,'Raw Data'!$D$2:$D$186,1)</x:f>
        <x:v>0</x:v>
      </x:c>
      <x:c r="E31" s="20" t="n">
        <x:f>COUNTIFS('Raw Data'!$G$2:$G$186,A31,'Raw Data'!$D$2:$D$186,"&gt;=133",'Raw Data'!$D$2:$D$186,"&lt;=135")</x:f>
        <x:v>0</x:v>
      </x:c>
      <x:c r="F31" s="20" t="n">
        <x:f>COUNTIFS('Raw Data'!$G$2:$G$186,A31,'Raw Data'!$D$2:$D$186,"&gt;=2342",'Raw Data'!$D$2:$D$186,"&lt;=2489")</x:f>
        <x:v>1</x:v>
      </x:c>
      <x:c r="G31" s="20" t="n">
        <x:f>COUNTIFS('Raw Data'!$G$2:$G$186,A31,'Raw Data'!$D$2:$D$186,"&gt;=6248",'Raw Data'!$D$2:$D$186,"&lt;=6295")</x:f>
        <x:v>1</x:v>
      </x:c>
      <x:c r="H31" s="34" t="n">
        <x:f>COUNTIFS('Raw Data'!$G$2:$G$186,A31,'Raw Data'!$K$2:$K$186,1)</x:f>
        <x:v>0</x:v>
      </x:c>
    </x:row>
  </x:sheetData>
  <x:mergeCells>
    <x:mergeCell ref="J21:R24"/>
  </x:mergeCells>
  <x:pageMargins left="0.7" right="0.7" top="0.75" bottom="0.75" header="0.3" footer="0.3"/>
  <x:drawing xmlns:r="http://schemas.openxmlformats.org/officeDocument/2006/relationships" r:id="Rfb9858cfbd724f8d"/>
  <x:tableParts count="1">
    <x:tablePart xmlns:r="http://schemas.openxmlformats.org/officeDocument/2006/relationships" r:id="R50769933aea4472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9" hidden="0" customWidth="1"/>
    <x:col min="2" max="2" width="13" hidden="0" customWidth="1"/>
    <x:col min="3" max="3" width="13" hidden="0" customWidth="1"/>
    <x:col min="4" max="4" width="13" hidden="0" customWidth="1"/>
    <x:col min="5" max="5" width="16" hidden="0" customWidth="1"/>
    <x:col min="6" max="6" width="32" hidden="0" customWidth="1"/>
    <x:col min="7" max="7" width="16" hidden="0" customWidth="1"/>
  </x:cols>
  <x:sheetData>
    <x:row r="1" ht="32" customHeight="1">
      <x:c r="A1" s="37" t="str">
        <x:v>Sherwood Public Search Audit — Network Scope</x:v>
      </x:c>
      <x:c r="B1" s="37" t="str">
        <x:v>Sherwood Public Search Audit — Network Scope</x:v>
      </x:c>
      <x:c r="C1" s="37" t="str">
        <x:v>Sherwood Public Search Audit — Network Scope</x:v>
      </x:c>
      <x:c r="D1" s="37" t="str">
        <x:v>Sherwood Public Search Audit — Network Scope</x:v>
      </x:c>
      <x:c r="E1" s="37" t="str">
        <x:v>Sherwood Public Search Audit — Network Scope</x:v>
      </x:c>
      <x:c r="F1" s="37" t="str">
        <x:v>Sherwood Public Search Audit — Network Scope</x:v>
      </x:c>
      <x:c r="G1" s="37" t="str">
        <x:v>Sherwood Public Search Audit — Network Scope</x:v>
      </x:c>
    </x:row>
    <x:row r="2" ht="34" customHeight="1">
      <x:c r="A2" s="41" t="str">
        <x:v>Observed clusters are descriptive. The CSV does not disclose network identities or define whether one network equals one agency or database.</x:v>
      </x:c>
      <x:c r="B2" s="41" t="str">
        <x:v>Observed clusters are descriptive. The CSV does not disclose network identities or define whether one network equals one agency or database.</x:v>
      </x:c>
      <x:c r="C2" s="41" t="str">
        <x:v>Observed clusters are descriptive. The CSV does not disclose network identities or define whether one network equals one agency or database.</x:v>
      </x:c>
      <x:c r="D2" s="41" t="str">
        <x:v>Observed clusters are descriptive. The CSV does not disclose network identities or define whether one network equals one agency or database.</x:v>
      </x:c>
      <x:c r="E2" s="41" t="str">
        <x:v>Observed clusters are descriptive. The CSV does not disclose network identities or define whether one network equals one agency or database.</x:v>
      </x:c>
      <x:c r="F2" s="41" t="str">
        <x:v>Observed clusters are descriptive. The CSV does not disclose network identities or define whether one network equals one agency or database.</x:v>
      </x:c>
      <x:c r="G2" s="41" t="str">
        <x:v>Observed clusters are descriptive. The CSV does not disclose network identities or define whether one network equals one agency or database.</x:v>
      </x:c>
    </x:row>
    <x:row r="4">
      <x:c r="A4" s="30" t="str">
        <x:v>Observed scope tier</x:v>
      </x:c>
      <x:c r="B4" s="31" t="str">
        <x:v>Minimum</x:v>
      </x:c>
      <x:c r="C4" s="31" t="str">
        <x:v>Maximum</x:v>
      </x:c>
      <x:c r="D4" s="31" t="str">
        <x:v>Searches</x:v>
      </x:c>
      <x:c r="E4" s="31" t="str">
        <x:v>% of searches</x:v>
      </x:c>
      <x:c r="F4" s="31" t="str">
        <x:v>Cumulative network-search pairings</x:v>
      </x:c>
      <x:c r="G4" s="32" t="str">
        <x:v>% of pairings</x:v>
      </x:c>
    </x:row>
    <x:row r="5">
      <x:c r="A5" s="11" t="str">
        <x:v>1 network</x:v>
      </x:c>
      <x:c r="B5" s="14" t="n">
        <x:v>1</x:v>
      </x:c>
      <x:c r="C5" s="14" t="n">
        <x:v>1</x:v>
      </x:c>
      <x:c r="D5" s="14" t="n">
        <x:f>COUNTIF('Raw Data'!$D$2:$D$186,1)</x:f>
        <x:v>41</x:v>
      </x:c>
      <x:c r="E5" s="42" t="n">
        <x:f>D5/'Dashboard'!$A$5</x:f>
        <x:v>0.22162162162162163</x:v>
      </x:c>
      <x:c r="F5" s="14" t="n">
        <x:f>SUMIF('Raw Data'!$J$2:$J$186,A5,'Raw Data'!$D$2:$D$186)</x:f>
        <x:v>41</x:v>
      </x:c>
      <x:c r="G5" s="44" t="n">
        <x:f>F5/'Dashboard'!$C$5</x:f>
        <x:v>0.00012043839576056847</x:v>
      </x:c>
    </x:row>
    <x:row r="6">
      <x:c r="A6" s="11" t="str">
        <x:v>133–135 networks</x:v>
      </x:c>
      <x:c r="B6" s="14" t="n">
        <x:v>133</x:v>
      </x:c>
      <x:c r="C6" s="14" t="n">
        <x:v>135</x:v>
      </x:c>
      <x:c r="D6" s="14" t="n">
        <x:f>COUNTIFS('Raw Data'!$D$2:$D$186,"&gt;=133",'Raw Data'!$D$2:$D$186,"&lt;=135")</x:f>
        <x:v>40</x:v>
      </x:c>
      <x:c r="E6" s="42" t="n">
        <x:f>D6/'Dashboard'!$A$5</x:f>
        <x:v>0.21621621621621623</x:v>
      </x:c>
      <x:c r="F6" s="14" t="n">
        <x:f>SUMIF('Raw Data'!$J$2:$J$186,A6,'Raw Data'!$D$2:$D$186)</x:f>
        <x:v>5362</x:v>
      </x:c>
      <x:c r="G6" s="44" t="n">
        <x:f>F6/'Dashboard'!$C$5</x:f>
        <x:v>0.0157509921480041</x:v>
      </x:c>
    </x:row>
    <x:row r="7">
      <x:c r="A7" s="11" t="str">
        <x:v>2,342–2,489 networks</x:v>
      </x:c>
      <x:c r="B7" s="14" t="n">
        <x:v>2342</x:v>
      </x:c>
      <x:c r="C7" s="14" t="n">
        <x:v>2489</x:v>
      </x:c>
      <x:c r="D7" s="14" t="n">
        <x:f>COUNTIFS('Raw Data'!$D$2:$D$186,"&gt;=2342",'Raw Data'!$D$2:$D$186,"&lt;=2489")</x:f>
        <x:v>83</x:v>
      </x:c>
      <x:c r="E7" s="42" t="n">
        <x:f>D7/'Dashboard'!$A$5</x:f>
        <x:v>0.4486486486486487</x:v>
      </x:c>
      <x:c r="F7" s="14" t="n">
        <x:f>SUMIF('Raw Data'!$J$2:$J$186,A7,'Raw Data'!$D$2:$D$186)</x:f>
        <x:v>203047</x:v>
      </x:c>
      <x:c r="G7" s="44" t="n">
        <x:f>F7/'Dashboard'!$C$5</x:f>
        <x:v>0.5964549986340524</x:v>
      </x:c>
    </x:row>
    <x:row r="8">
      <x:c r="A8" s="17" t="str">
        <x:v>6,248–6,295 networks</x:v>
      </x:c>
      <x:c r="B8" s="20" t="n">
        <x:v>6248</x:v>
      </x:c>
      <x:c r="C8" s="20" t="n">
        <x:v>6295</x:v>
      </x:c>
      <x:c r="D8" s="20" t="n">
        <x:f>COUNTIFS('Raw Data'!$D$2:$D$186,"&gt;=6248",'Raw Data'!$D$2:$D$186,"&lt;=6295")</x:f>
        <x:v>21</x:v>
      </x:c>
      <x:c r="E8" s="43" t="n">
        <x:f>D8/'Dashboard'!$A$5</x:f>
        <x:v>0.11351351351351352</x:v>
      </x:c>
      <x:c r="F8" s="20" t="n">
        <x:f>SUMIF('Raw Data'!$J$2:$J$186,A8,'Raw Data'!$D$2:$D$186)</x:f>
        <x:v>131973</x:v>
      </x:c>
      <x:c r="G8" s="45" t="n">
        <x:f>F8/'Dashboard'!$C$5</x:f>
        <x:v>0.387673570822183</x:v>
      </x:c>
    </x:row>
    <x:row r="11">
      <x:c r="A11" s="47" t="str">
        <x:v>Interpretation</x:v>
      </x:c>
      <x:c r="B11" s="47" t="str">
        <x:v>Interpretation</x:v>
      </x:c>
      <x:c r="C11" s="47" t="str">
        <x:v>Interpretation</x:v>
      </x:c>
      <x:c r="D11" s="47" t="str">
        <x:v>Interpretation</x:v>
      </x:c>
      <x:c r="E11" s="47" t="str">
        <x:v>Interpretation</x:v>
      </x:c>
      <x:c r="F11" s="47" t="str">
        <x:v>Interpretation</x:v>
      </x:c>
      <x:c r="G11" s="47" t="str">
        <x:v>Interpretation</x:v>
      </x:c>
    </x:row>
    <x:row r="12">
      <x:c r="A12"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B12"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C12"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D12"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E12"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F12"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G12"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row>
    <x:row r="13">
      <x:c r="A13"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B13"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C13"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D13"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E13"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F13"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G13"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row>
    <x:row r="14">
      <x:c r="A14"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B14"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C14"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D14"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E14"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F14"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G14"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row>
    <x:row r="15">
      <x:c r="A15"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B15"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C15"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D15"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E15"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F15"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c r="G15" s="50" t="str">
        <x:v>The 185 rows sum to 340,423 network-search pairings. This is not 340,423 distinct databases and is not a count of vehicle records or search results. The highest single row lists 6,295 networks, showing the maximum reported scope of one search in this file. Because network names are absent, the number of unique networks across the period cannot be calculated.</x:v>
      </x:c>
    </x:row>
    <x:row r="18">
      <x:c r="A18"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B18"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C18"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D18"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E18"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F18"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G18"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row>
    <x:row r="19">
      <x:c r="A19"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B19"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C19"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D19"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E19"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F19"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G19"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row>
    <x:row r="20">
      <x:c r="A20"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B20"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C20"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D20"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E20"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F20"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G20"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row>
  </x:sheetData>
  <x:mergeCells>
    <x:mergeCell ref="A1:G1"/>
    <x:mergeCell ref="A2:G2"/>
    <x:mergeCell ref="A11:G11"/>
    <x:mergeCell ref="A12:G15"/>
    <x:mergeCell ref="A18:G20"/>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3" hidden="0" customWidth="1"/>
    <x:col min="2" max="2" width="46" hidden="0" customWidth="1"/>
    <x:col min="3" max="3" width="46" hidden="0" customWidth="1"/>
    <x:col min="4" max="4" width="48" hidden="0" customWidth="1"/>
  </x:cols>
  <x:sheetData>
    <x:row r="1" ht="32" customHeight="1">
      <x:c r="A1" s="37" t="str">
        <x:v>Findings, Evidentiary Limits, and Follow-Up</x:v>
      </x:c>
      <x:c r="B1" s="37" t="str">
        <x:v>Findings, Evidentiary Limits, and Follow-Up</x:v>
      </x:c>
      <x:c r="C1" s="37" t="str">
        <x:v>Findings, Evidentiary Limits, and Follow-Up</x:v>
      </x:c>
      <x:c r="D1" s="37" t="str">
        <x:v>Findings, Evidentiary Limits, and Follow-Up</x:v>
      </x:c>
    </x:row>
    <x:row r="2" ht="34" customHeight="1">
      <x:c r="A2" s="41" t="str">
        <x:v>This sheet distinguishes what the CSV establishes from what would require additional records.</x:v>
      </x:c>
      <x:c r="B2" s="41" t="str">
        <x:v>This sheet distinguishes what the CSV establishes from what would require additional records.</x:v>
      </x:c>
      <x:c r="C2" s="41" t="str">
        <x:v>This sheet distinguishes what the CSV establishes from what would require additional records.</x:v>
      </x:c>
      <x:c r="D2" s="41" t="str">
        <x:v>This sheet distinguishes what the CSV establishes from what would require additional records.</x:v>
      </x:c>
    </x:row>
    <x:row r="4">
      <x:c r="A4" s="8" t="str">
        <x:v>Issue</x:v>
      </x:c>
      <x:c r="B4" s="9" t="str">
        <x:v>What the audit establishes</x:v>
      </x:c>
      <x:c r="C4" s="9" t="str">
        <x:v>What it does not establish</x:v>
      </x:c>
      <x:c r="D4" s="10" t="str">
        <x:v>Recommended follow-up record</x:v>
      </x:c>
    </x:row>
    <x:row r="5" ht="58" customHeight="1">
      <x:c r="A5" s="101" t="str">
        <x:v>Individual searches</x:v>
      </x:c>
      <x:c r="B5" s="102" t="str">
        <x:v>185 rows, unique IDs, unique timestamps</x:v>
      </x:c>
      <x:c r="C5" s="102" t="str">
        <x:v>Whether a row represents every query type or only portal-search events</x:v>
      </x:c>
      <x:c r="D5" s="103" t="str">
        <x:v>Flock audit-field data dictionary and export methodology</x:v>
      </x:c>
    </x:row>
    <x:row r="6" ht="58" customHeight="1">
      <x:c r="A6" s="101" t="str">
        <x:v>Search scope</x:v>
      </x:c>
      <x:c r="B6" s="102" t="str">
        <x:v>networkCount ranges from 1 to 6,295; 104 searches are 1,000+</x:v>
      </x:c>
      <x:c r="C6" s="102" t="str">
        <x:v>Names, jurisdictions, ownership, or unique count of networks</x:v>
      </x:c>
      <x:c r="D6" s="103" t="str">
        <x:v>Network IDs/names selected for each search and sharing configuration history</x:v>
      </x:c>
    </x:row>
    <x:row r="7" ht="58" customHeight="1">
      <x:c r="A7" s="101" t="str">
        <x:v>Purpose</x:v>
      </x:c>
      <x:c r="B7" s="102" t="str">
        <x:v>All 185 rows state “Investigation”</x:v>
      </x:c>
      <x:c r="C7" s="102" t="str">
        <x:v>Offense, case number, factual basis, or particularized purpose</x:v>
      </x:c>
      <x:c r="D7" s="103" t="str">
        <x:v>Unredacted/internal reason field, case/incident reference, and supervisory review</x:v>
      </x:c>
    </x:row>
    <x:row r="8" ht="58" customHeight="1">
      <x:c r="A8" s="101" t="str">
        <x:v>User accountability</x:v>
      </x:c>
      <x:c r="B8" s="102" t="str">
        <x:v>Public userId is redacted as *** for every row</x:v>
      </x:c>
      <x:c r="C8" s="102" t="str">
        <x:v>Number of users or which employee performed a search</x:v>
      </x:c>
      <x:c r="D8" s="103" t="str">
        <x:v>Unredacted user identifier or coded identifier consistent across records</x:v>
      </x:c>
    </x:row>
    <x:row r="9" ht="58" customHeight="1">
      <x:c r="A9" s="101" t="str">
        <x:v>Results</x:v>
      </x:c>
      <x:c r="B9" s="102" t="str">
        <x:v>No result field is provided</x:v>
      </x:c>
      <x:c r="C9" s="102" t="str">
        <x:v>How many records, matches, leads, arrests, prosecutions, or false matches resulted</x:v>
      </x:c>
      <x:c r="D9" s="103" t="str">
        <x:v>Result count, clicked/viewed records, exports/downloads, and disposition</x:v>
      </x:c>
    </x:row>
    <x:row r="10" ht="58" customHeight="1">
      <x:c r="A10" s="101" t="str">
        <x:v>Timing</x:v>
      </x:c>
      <x:c r="B10" s="102" t="str">
        <x:v>UTC timestamps; 18 searches occurred locally from 22:00–05:59; 17 occurred on weekends</x:v>
      </x:c>
      <x:c r="C10" s="102" t="str">
        <x:v>Whether off-hours/weekend searches were improper</x:v>
      </x:c>
      <x:c r="D10" s="103" t="str">
        <x:v>Duty roster or case context only where legally appropriate</x:v>
      </x:c>
    </x:row>
    <x:row r="11" ht="58" customHeight="1">
      <x:c r="A11" s="101" t="str">
        <x:v>Possible rapid repeats</x:v>
      </x:c>
      <x:c r="B11" s="102" t="str">
        <x:v>Five searches followed another search by 60 seconds or less</x:v>
      </x:c>
      <x:c r="C11" s="102" t="str">
        <x:v>Whether they were duplicates, refinements, or separate legitimate queries</x:v>
      </x:c>
      <x:c r="D11" s="103" t="str">
        <x:v>Query parameters and session/audit event linkage</x:v>
      </x:c>
    </x:row>
    <x:row r="12" ht="58" customHeight="1">
      <x:c r="A12" s="104" t="str">
        <x:v>Changing network counts</x:v>
      </x:c>
      <x:c r="B12" s="105" t="str">
        <x:v>Counts fluctuate within large observed tiers</x:v>
      </x:c>
      <x:c r="C12" s="105" t="str">
        <x:v>Whether caused by sharing changes, database availability, or selected scope</x:v>
      </x:c>
      <x:c r="D12" s="106" t="str">
        <x:v>Daily sharing/network configuration audit and Flock field definition</x:v>
      </x:c>
    </x:row>
    <x:row r="15">
      <x:c r="A15" s="47" t="str">
        <x:v>Suggested narrow follow-up request</x:v>
      </x:c>
      <x:c r="B15" s="47" t="str">
        <x:v>Suggested narrow follow-up request</x:v>
      </x:c>
      <x:c r="C15" s="47" t="str">
        <x:v>Suggested narrow follow-up request</x:v>
      </x:c>
      <x:c r="D15" s="47" t="str">
        <x:v>Suggested narrow follow-up request</x:v>
      </x:c>
    </x:row>
    <x:row r="16">
      <x:c r="A16"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B16"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C16"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D16"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row>
    <x:row r="17">
      <x:c r="A17"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B17"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C17"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D17"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row>
    <x:row r="18">
      <x:c r="A18"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B18"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C18"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D18"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row>
    <x:row r="19">
      <x:c r="A19"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B19"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C19"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D19"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row>
    <x:row r="20">
      <x:c r="A20"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B20"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C20"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D20"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row>
    <x:row r="21">
      <x:c r="A21"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B21"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C21"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c r="D21" s="50" t="str">
        <x:v>For each search event identified in the public-search audit covering July 11 through August 9, 2026, provide: (1) the network/database identifiers included in the search; (2) a consistent user identifier, which may be coded if necessary; (3) the complete reason or purpose recorded; (4) any case or incident number; (5) the search type and parameters, with plate numbers or other personal identifiers redacted as required by law; (6) result counts; and (7) records showing exports, downloads, or records preserved beyond the platform’s ordinary retention period. Also provide the data dictionary defining each public-audit CSV field, particularly networkCount.</x:v>
      </x:c>
    </x:row>
    <x:row r="24">
      <x:c r="A24"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B24"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C24"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D24"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row>
    <x:row r="25">
      <x:c r="A25"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B25"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C25"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D25"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row>
    <x:row r="26">
      <x:c r="A26"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B26"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C26"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D26"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row>
    <x:row r="27">
      <x:c r="A27"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B27"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C27"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c r="D27" s="110" t="str">
        <x:v>Source/method: 8-10-26 Sherwood.csv, supplied as a public search audit. One CSV row is counted as one search event. networkCount values are summed only as cumulative search-to-network pairings. Because the CSV provides no network identifiers, it cannot yield a deduplicated count of distinct networks, agencies, or databases. Times ending in Z are UTC and were converted to America/Chicago (CDT, UTC−5) for local-time analysis.</x:v>
      </x:c>
    </x:row>
  </x:sheetData>
  <x:mergeCells>
    <x:mergeCell ref="A1:D1"/>
    <x:mergeCell ref="A2:D2"/>
    <x:mergeCell ref="A15:D15"/>
    <x:mergeCell ref="A16:D21"/>
    <x:mergeCell ref="A24:D27"/>
  </x:mergeCells>
  <x:pageMargins left="0.7" right="0.7" top="0.75" bottom="0.75" header="0.3" footer="0.3"/>
</x:worksheet>
</file>